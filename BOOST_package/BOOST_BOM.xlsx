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Scenario A: 5 bare PCBs of each board, 2 complete sets assembled by JLCPCB. Updated 2026-10-02: schematic rev6 plus D28-D30, 6-layer control card with 0.5 oz inner copper, the savings approved on 2026-10-01, and the 6-layer power board (2026-10-02, stackup JLC061611-7628D). JLC prices and stock read 2026-10-01.</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t="inlineStr">
        <is>
          <t xml:space="preserve">COST_SUMMARY.md gives $599.01</t>
        </is>
      </c>
    </row>
    <row r="9">
</row>
    <row r="10">
      <c r="A10" s="11" t="inlineStr">
        <is>
          <t xml:space="preserve">Stock (2026-10-01): every JLC line is in stock for 2 sets. Re-check on the day you order.</t>
        </is>
      </c>
    </row>
    <row r="11">
      <c r="A11" s="11" t="inlineStr">
        <is>
          <t xml:space="preserve">Not included: M1-M10, L1, the buck module and J9 wires (you own them);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part chosen earlier (HANDOFF_SUMMARY / replace_notes / ANSWERS)</t>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part chosen earlier (HANDOFF_SUMMARY / replace_notes / ANSWERS); 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part chosen earlier (HANDOFF_SUMMARY / replace_notes / ANSWERS); 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part chosen earlier (HANDOFF_SUMMARY / replace_notes / ANSWERS); the three most loaded output caps (BOOST_AUDIT section 6: up to 3.46 A); since 2026-10-01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approved 2026-10-01: same Panasonic hybrid family, size and footprint; 13 mOhm, 3.7 A (ZU: 10 mOhm, 5.2 A). These positions carry 1.90-2.37 A, 51-64 % of the ZS rating; cheaper, and the ZU had too little stock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your choice of 2026-09-24; no diode type in the schematic (LTspice default diode). Anode on the FET gate, cathode to the driver side of the gate resistor: the turn-off path. Proposal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your choice of 2026-09-24; no diode type in the schematic. 12 V to the high-side VDDA: blocks the rail FET source voltage (up to Vout, 54-87 V under a clamp event). Proposal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(chosen 2026-09-29): 1000 V 2 A, IFSM 50 A; surge headroom 2.5x at an ideal battery (precharge_surge_2026-09-30), kept 2026-09-30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part chosen earlier (HANDOFF_SUMMARY / replace_notes / ANSWERS); Littelfuse has 1 in stock; R+O alternate (as decided 2026-09-15).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you (hand)</t>
        </is>
      </c>
      <c r="P18" s="5">
        <f>HYPERLINK("https://www.samtec.com/products/esq-115-44-g-d","Maker")</f>
      </c>
      <c r="Q18" s="0"/>
      <c r="R18" s="0"/>
      <c r="S18" s="0" t="inlineStr">
        <is>
          <t xml:space="preserve">ESQ-115-44-G-D</t>
        </is>
      </c>
      <c r="T18" s="0"/>
      <c r="U18" s="11" t="inlineStr">
        <is>
          <t xml:space="preserve">Mouser price as listed on samtec.com (2026-09-25); bought by you, fitted by you. the device named in the schematic or the notes;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you (hand)</t>
        </is>
      </c>
      <c r="P19" s="0"/>
      <c r="Q19" s="0"/>
      <c r="R19" s="0"/>
      <c r="S19" s="0" t="inlineStr">
        <is>
          <t xml:space="preserve">CSCF3218-6R8MC</t>
        </is>
      </c>
      <c r="T19" s="0"/>
      <c r="U19" s="11" t="inlineStr">
        <is>
          <t xml:space="preserve">you own it; not priced. the device named in the schematic or the notes; the user owns it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you (hand)</t>
        </is>
      </c>
      <c r="P20" s="0"/>
      <c r="Q20" s="0"/>
      <c r="R20" s="0"/>
      <c r="S20" s="0" t="inlineStr">
        <is>
          <t xml:space="preserve">HYG180N10</t>
        </is>
      </c>
      <c r="T20" s="0"/>
      <c r="U20" s="11" t="inlineStr">
        <is>
          <t xml:space="preserve">you own ten; not priced. the device named in the schematic or the notes; the user owns ten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your choice of 2026-09-24; rev6: 1 mOhm with U25 = INA241A4 (100 V/V): Current stays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your choice of 2026-09-24; 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your choice of 2026-09-24; rev6: 5 -&gt; 5.1 Ohm (5.0 Ohm 0805 is not stocked), the value R59/R70 already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device named in the schematic or the notes;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device named in the schematic or the notes</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approved 2026-10-01: 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BOOST_split_boards/mc7812_lowbatt_2026-10-01) Alternates: C38744 MC7812CD2TR4G (0 to +125 C); C2877347 LM2940S-12/NOPB (before 2026-10-01)</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your choice of 2026-09-24; rev6: gain 100 V/V with the 1 mOhm R1; TI SBOSA30D: same SOIC-8 pinout for every gain, 1.1 MHz for all gains Alternates: C22427652 INA241A3IDR (rev5)</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you buy or own (priced lines)</t>
        </is>
      </c>
      <c r="C36" s="0"/>
      <c r="D36" s="0"/>
      <c r="E36" s="0"/>
      <c r="F36" s="0"/>
      <c r="G36" s="0"/>
      <c r="H36" s="0"/>
      <c r="I36" s="0"/>
      <c r="J36" s="0"/>
      <c r="K36" s="7">
        <f>SUMIFS(K2:K33,O2:O33,"you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 2026-10-01</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your choice of 2026-09-24; no diode type in the schematic (LTspice default silicon diode). Proposal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your choice of 2026-09-24; no type in the schematic; the design notes show BAT54 on this path (Output -&gt; .1Vref_n). Proposal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you (hand)</t>
        </is>
      </c>
      <c r="P13" s="5">
        <f>HYPERLINK("https://www.samtec.com/products/tsw-115-07-g-d","Maker")</f>
      </c>
      <c r="Q13" s="0"/>
      <c r="R13" s="0"/>
      <c r="S13" s="0" t="inlineStr">
        <is>
          <t xml:space="preserve">TSW-115-07-G-D</t>
        </is>
      </c>
      <c r="T13" s="0"/>
      <c r="U13" s="11" t="inlineStr">
        <is>
          <t xml:space="preserve">Mouser price as listed on samtec.com (2026-09-25); bought by you, fitted by you. the device named in the schematic or the notes;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your choice of 2026-09-24; no transistor type in the schematic (LTspice generic PNP). Proposal MMBT3906 Alternates: C2143 JSCJ MMBT3906</t>
        </is>
      </c>
    </row>
    <row r="15">
      <c r="A15" s="10">
        <v>14</v>
      </c>
      <c r="B15" s="4" t="inlineStr">
        <is>
          <t xml:space="preserve">R2 R6 R31 R33 R39 R41 R67 R77 R83 R85 R100 R101 R103</t>
        </is>
      </c>
      <c r="C15" s="10">
        <v>13</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 R99 R102</t>
        </is>
      </c>
      <c r="C17" s="10">
        <v>7</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 R106 R107</t>
        </is>
      </c>
      <c r="C25" s="10">
        <v>5</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device named in the schematic or the notes</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approved 2026-10-01: TI TLV9001IDBVR (the DBV part: pins 1 OUT, 2 V-, 3 IN+, 4 IN-, 5 V+, as the MCP6241; NOT the TLV9001U). 1 MHz, 2 V/us, 1.6 mV max offset. LTspice re-runs (30 ms, 25 % PWM, cold start) match the MCP6241 within 0.05 % Alternates: C49889 MCP6241T-E/OT (before 2026-10-01)</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device named in the schematic or the notes</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part chosen earlier (HANDOFF_SUMMARY / replace_notes / ANSWERS); 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device named in the schematic or the notes</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device named in the schematic or the notes</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device named in the schematic or the notes</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device named in the schematic or the notes;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you buy or own (priced lines)</t>
        </is>
      </c>
      <c r="C46" s="0"/>
      <c r="D46" s="0"/>
      <c r="E46" s="0"/>
      <c r="F46" s="0"/>
      <c r="G46" s="0"/>
      <c r="H46" s="0"/>
      <c r="I46" s="0"/>
      <c r="J46" s="0"/>
      <c r="K46" s="7">
        <f>SUMIFS(K2:K43,O2:O43,"you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read 2026-09-30 (7,030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 by you 2026-09-25</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 by you 2026-09-25</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 2026-09-25</t>
        </is>
      </c>
      <c r="H13" s="5">
        <f>HYPERLINK("https://www.mcmaster.com/1272N32/","link")</f>
      </c>
      <c r="I13" s="11" t="inlineStr">
        <is>
          <t xml:space="preserve">Default pad. Alternatives: Parker G579 $128.75; t-Global TG-AD30 (price not read). See COST_SUMMARY.md</t>
        </is>
      </c>
    </row>
    <row r="14">
</row>
    <row r="15">
      <c r="A15" s="6" t="inlineStr">
        <is>
          <t xml:space="preserve">Total bought elsewhere (with the McMaster pad)</t>
        </is>
      </c>
      <c r="B15" s="0"/>
      <c r="C15" s="0"/>
      <c r="D15" s="0"/>
      <c r="E15" s="7">
        <f>SUM(E2:E13)</f>
      </c>
    </row>
    <row r="16">
      <c r="A16" s="11" t="inlineStr">
        <is>
          <t xml:space="preserve">Prices are the 2026-09-25 readings except the PTC (read 2026-09-30).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 2026-10-01</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1.52</v>
      </c>
      <c r="D6" s="11" t="inlineStr">
        <is>
          <t xml:space="preserve">566 / 952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Applied</t>
        </is>
      </c>
    </row>
    <row r="3">
      <c r="A3" s="4" t="inlineStr">
        <is>
          <t xml:space="preserve">Control card 8 -&gt; 6 layers (2026-09-30)</t>
        </is>
      </c>
      <c r="B3" s="2">
        <v>63.47</v>
      </c>
      <c r="C3" s="4" t="inlineStr">
        <is>
          <t xml:space="preserve">card panel $137.04 -&gt; $73.57</t>
        </is>
      </c>
      <c r="D3" s="4" t="inlineStr">
        <is>
          <t xml:space="preserve">applied</t>
        </is>
      </c>
    </row>
    <row r="4">
      <c r="A4" s="4" t="inlineStr">
        <is>
          <t xml:space="preserve">220 uF output caps: EEH-ZS1H221P (C385885) on C70, C71, C75, C77, C78, C88; EEH-ZU1H221P stays on C74, C86, C87</t>
        </is>
      </c>
      <c r="B4" s="2">
        <v>12.89</v>
      </c>
      <c r="C4" s="4" t="inlineStr">
        <is>
          <t xml:space="preserve">also cleared the ZU stock shortage (14 in stock, now 6 needed)</t>
        </is>
      </c>
      <c r="D4" s="4" t="inlineStr">
        <is>
          <t xml:space="preserve">applied</t>
        </is>
      </c>
    </row>
    <row r="5">
      <c r="A5" s="4" t="inlineStr">
        <is>
          <t xml:space="preserve">Card inner copper 0.5 oz</t>
        </is>
      </c>
      <c r="B5" s="2">
        <v>16.74</v>
      </c>
      <c r="C5" s="4" t="inlineStr">
        <is>
          <t xml:space="preserve">card panel $73.57 -&gt; $56.83; stackup now 1.547 mm (JLC 6-layer 1/0.5 oz build); Gerber layers unchanged</t>
        </is>
      </c>
      <c r="D5" s="4" t="inlineStr">
        <is>
          <t xml:space="preserve">applied</t>
        </is>
      </c>
    </row>
    <row r="6">
      <c r="A6" s="4" t="inlineStr">
        <is>
          <t xml:space="preserve">12 V regulator U16: onsemi MC7812BD2TR4G (C231294) for the TI LM2940S-12/NOPB</t>
        </is>
      </c>
      <c r="B6" s="2">
        <v>8.1</v>
      </c>
      <c r="C6" s="4" t="inlineStr">
        <is>
          <t xml:space="preserve">your choice, 2026-10-01. Same TO-263 footprint; the gerbers do not change. About 1.5 V dropout: at the end of a 4S discharge the LEDs fade from about 12.7 V open-circuit instead of 11.3 V (simulated, `mc7812_lowbatt_2026-10-01`). Its lower bias current makes it run about 2 C cooler than the LM2940 at 18 V; it also cleared the LM2940 stock problem (2 in stock)</t>
        </is>
      </c>
      <c r="D6" s="4" t="inlineStr">
        <is>
          <t xml:space="preserve">applied</t>
        </is>
      </c>
    </row>
    <row r="7">
      <c r="A7" s="4" t="inlineStr">
        <is>
          <t xml:space="preserve">Power board: 6 layers instead of 8</t>
        </is>
      </c>
      <c r="B7" s="2">
        <v>54.53</v>
      </c>
      <c r="C7" s="4" t="inlineStr">
        <is>
          <t xml:space="preserve">your choice, 2026-10-01/02: $124.10 -&gt; $69.57. The 5 V plane (In4) and the second GND plane (In6) are gone, 5 V is routed as tracks, and the GND pours, vias and two gate-drive routes were reworked. Stackup JLC061611-7628D (must be specified at order). Copper solve, loop inductance, M1 turn-off and U16 thermal re-checked (`power6_2026-10-01/README.md`)</t>
        </is>
      </c>
      <c r="D7" s="4" t="inlineStr">
        <is>
          <t xml:space="preserve">applied</t>
        </is>
      </c>
    </row>
    <row r="8">
      <c r="A8" s="4" t="inlineStr">
        <is>
          <t xml:space="preserve">Op-amps: TI TLV9001IDBVR for the 18 MCP6241 (same SOT-23-5 pinout)</t>
        </is>
      </c>
      <c r="B8" s="2">
        <v>8.78</v>
      </c>
      <c r="C8" s="4" t="inlineStr">
        <is>
          <t xml:space="preserve">LTspice re-runs against the MCP6241 (30 ms full power, 25 % PWM, cold start to 140 ms): LED currents, LX, TVS energy and servo levels match within 0.05 %</t>
        </is>
      </c>
      <c r="D8" s="4" t="inlineStr">
        <is>
          <t xml:space="preserve">applied</t>
        </is>
      </c>
    </row>
    <row r="9">
</row>
    <row r="10">
      <c r="A10" s="6" t="inlineStr">
        <is>
          <t xml:space="preserve">Still open (your choice)</t>
        </is>
      </c>
    </row>
    <row r="11">
      <c r="A11" s="4" t="inlineStr">
        <is>
          <t xml:space="preserve">Samtec J10/J11 through Samtec's free-sample program</t>
        </is>
      </c>
      <c r="B11" s="2">
        <v>24.62</v>
      </c>
      <c r="C11" s="4" t="inlineStr">
        <is>
          <t xml:space="preserve">Needs a Samtec account (your choice). A generic header pair would need the exact stack height re-checked.</t>
        </is>
      </c>
      <c r="D11" s="4" t="inlineStr">
        <is>
          <t xml:space="preserve">Worth asking Samtec</t>
        </is>
      </c>
    </row>
    <row r="12">
      <c r="A12" s="4" t="inlineStr">
        <is>
          <t xml:space="preserve">Ordering</t>
        </is>
      </c>
      <c r="B12" s="0" t="inlineStr">
        <is>
          <t xml:space="preserve">shipping</t>
        </is>
      </c>
      <c r="C12" s="4" t="inlineStr">
        <is>
          <t xml:space="preserve">Pay both JLC orders together so they ship as one parcel; JLC's JLCONE desktop app advertises $1-20 off per order; check the coupons in your JLC account.</t>
        </is>
      </c>
      <c r="D12" s="4" t="inlineStr">
        <is>
          <t xml:space="preserve">Do it</t>
        </is>
      </c>
    </row>
    <row r="13">
</row>
    <row r="14">
      <c r="A14" s="6" t="inlineStr">
        <is>
          <t xml:space="preserve">Looked at, no good cheaper alternative (kept)</t>
        </is>
      </c>
    </row>
    <row r="15">
      <c r="A15" s="4" t="inlineStr">
        <is>
          <t xml:space="preserve">Comparators MCP6561 ($0.74 x 10): the cheaper parts are slower (Linearin LTC8721: 66-155 ns, 85 C), run hotter on supply current (Tokmas CSGM8743: 1.3 mA, 85 C) or save only $1.74 in all (3PEAK TP1961). TI TLV3201 costs more.</t>
        </is>
      </c>
    </row>
    <row r="16">
      <c r="A16" s="4" t="inlineStr">
        <is>
          <t xml:space="preserve">Digital pot MCP4451-103 ($2.91): already the cheapest 10 kOhm quad of its family; the 50 kOhm versions would change the current-setting network, the 7-bit MCP4441 is QFN and dearer.</t>
        </is>
      </c>
    </row>
    <row r="17">
      <c r="A17" s="4" t="inlineStr">
        <is>
          <t xml:space="preserve">L78L05 5 V regulators ($0.102 x 4): the clones cost $0.03-0.05, but under $0.10 JLC adds about 20 attrition spares per line, so the line costs more. Loads 8 mA and 3 mA (simulated).</t>
        </is>
      </c>
    </row>
    <row r="18">
      <c r="A18" s="4" t="inlineStr">
        <is>
          <t xml:space="preserve">12 V regulator, other options: the SOT-223 LM2940s (UTC $0.24, TI $1.68) run too hot at 75 C case air (`u16_thermal_2026-10-01`); Microchip MIC2940A-12WU-TR ($2.60, a true LDO in the same TO-263 footprint) is the fall-back if the low-battery fade ever matters; ST L4940 is rated for only 17 V in.</t>
        </is>
      </c>
    </row>
    <row r="19">
      <c r="A19" s="4" t="inlineStr">
        <is>
          <t xml:space="preserve">Card FR4 TG135 (-$3.43): you chose to keep TG155.</t>
        </is>
      </c>
    </row>
    <row r="20">
      <c r="A20" s="4" t="inlineStr">
        <is>
          <t xml:space="preserve">OSP finish (-$34.50): shelf life and hand soldering after two reflows.</t>
        </is>
      </c>
    </row>
    <row r="21">
      <c r="A21" s="4" t="inlineStr">
        <is>
          <t xml:space="preserve">One-sided assembly: parts on both sides of both boards.</t>
        </is>
      </c>
    </row>
    <row r="22">
      <c r="A22"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2026-10-14T06:21:24Z</dcterms:created>
</cp:coreProperties>
</file>