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Scenario A: 5 bare PCBs of each board, 2 complete sets assembled by JLCPCB. Updated 2026-10-02: schematic rev6 plus D28-D30, 6-layer control card with 0.5 oz inner copper, the savings approved on 2026-10-01, and the 6-layer power board (2026-10-02, stackup JLC061611-7628D). JLC prices and stock read 2026-10-01.</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t="inlineStr">
        <is>
          <t xml:space="preserve">COST_SUMMARY.md gives $599.01</t>
        </is>
      </c>
    </row>
    <row r="9">
</row>
    <row r="10">
      <c r="A10" s="11" t="inlineStr">
        <is>
          <t xml:space="preserve">Stock (2026-10-01): every JLC line is in stock for 2 sets. Re-check on the day you order.</t>
        </is>
      </c>
    </row>
    <row r="11">
      <c r="A11" s="11" t="inlineStr">
        <is>
          <t xml:space="preserve">Not included: M1-M10, L1, the buck module and J9 wires (you own them);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part chosen earlier (HANDOFF_SUMMARY / replace_notes / ANSWERS)</t>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part chosen earlier (HANDOFF_SUMMARY / replace_notes / ANSWERS); 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part chosen earlier (HANDOFF_SUMMARY / replace_notes / ANSWERS); 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part chosen earlier (HANDOFF_SUMMARY / replace_notes / ANSWERS); the three most loaded output caps (BOOST_AUDIT section 6: up to 3.46 A); since 2026-10-01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approved 2026-10-01: same Panasonic hybrid family, size and footprint; 13 mOhm, 3.7 A (ZU: 10 mOhm, 5.2 A). These positions carry 1.90-2.37 A, 51-64 % of the ZS rating; cheaper, and the ZU had too little stock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your choice of 2026-09-24; no diode type in the schematic (LTspice default diode). Anode on the FET gate, cathode to the driver side of the gate resistor: the turn-off path. Proposal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your choice of 2026-09-24; no diode type in the schematic. 12 V to the high-side VDDA: blocks the rail FET source voltage (up to Vout, 54-87 V under a clamp event). Proposal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(chosen 2026-09-29): 1000 V 2 A, IFSM 50 A; surge headroom 2.5x at an ideal battery (precharge_surge_2026-09-30), kept 2026-09-30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part chosen earlier (HANDOFF_SUMMARY / replace_notes / ANSWERS); Littelfuse has 1 in stock; R+O alternate (as decided 2026-09-15).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you (hand)</t>
        </is>
      </c>
      <c r="P18" s="5">
        <f>HYPERLINK("https://www.samtec.com/products/esq-115-44-g-d","Maker")</f>
      </c>
      <c r="Q18" s="0"/>
      <c r="R18" s="0"/>
      <c r="S18" s="0" t="inlineStr">
        <is>
          <t xml:space="preserve">ESQ-115-44-G-D</t>
        </is>
      </c>
      <c r="T18" s="0"/>
      <c r="U18" s="11" t="inlineStr">
        <is>
          <t xml:space="preserve">Mouser price as listed on samtec.com (2026-09-25); bought by you, fitted by you. the device named in the schematic or the notes;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you (hand)</t>
        </is>
      </c>
      <c r="P19" s="0"/>
      <c r="Q19" s="0"/>
      <c r="R19" s="0"/>
      <c r="S19" s="0" t="inlineStr">
        <is>
          <t xml:space="preserve">CSCF3218-6R8MC</t>
        </is>
      </c>
      <c r="T19" s="0"/>
      <c r="U19" s="11" t="inlineStr">
        <is>
          <t xml:space="preserve">you own it; not priced. the device named in the schematic or the notes; the user owns it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you (hand)</t>
        </is>
      </c>
      <c r="P20" s="0"/>
      <c r="Q20" s="0"/>
      <c r="R20" s="0"/>
      <c r="S20" s="0" t="inlineStr">
        <is>
          <t xml:space="preserve">HYG180N10</t>
        </is>
      </c>
      <c r="T20" s="0"/>
      <c r="U20" s="11" t="inlineStr">
        <is>
          <t xml:space="preserve">you own ten; not priced. the device named in the schematic or the notes; the user owns ten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your choice of 2026-09-24; rev6: 1 mOhm with U25 = INA241A4 (100 V/V): Current stays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your choice of 2026-09-24; 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R15</t>
        </is>
      </c>
      <c r="C24" s="10">
        <v>1</v>
      </c>
      <c r="D24" s="10">
        <f>C24*2+20</f>
      </c>
      <c r="E24" s="4" t="inlineStr">
        <is>
          <t xml:space="preserve">resistor 10 ohm 1 % (0805)</t>
        </is>
      </c>
      <c r="F24" s="0" t="inlineStr">
        <is>
          <t xml:space="preserve">UNI-ROYAL(Uniroyal Elec)</t>
        </is>
      </c>
      <c r="G24" s="0" t="inlineStr">
        <is>
          <t xml:space="preserve">0805W8F100JT5E</t>
        </is>
      </c>
      <c r="H24" s="0" t="inlineStr">
        <is>
          <t xml:space="preserve">C17415</t>
        </is>
      </c>
      <c r="I24" s="0" t="inlineStr">
        <is>
          <t xml:space="preserve">Basic</t>
        </is>
      </c>
      <c r="J24" s="3">
        <v>0.004</v>
      </c>
      <c r="K24" s="2">
        <f>D24*J24</f>
      </c>
      <c r="L24" s="10">
        <v>6880485</v>
      </c>
      <c r="M24" s="0" t="inlineStr">
        <is>
          <t xml:space="preserve">0805</t>
        </is>
      </c>
      <c r="N24" s="0" t="inlineStr">
        <is>
          <t xml:space="preserve">bottom</t>
        </is>
      </c>
      <c r="O24" s="0" t="inlineStr">
        <is>
          <t xml:space="preserve">JLC</t>
        </is>
      </c>
      <c r="P24" s="5">
        <f>HYPERLINK("https://jlcpcb.com/partdetail/18103-0805W8F100JT5E/C17415","JLC")</f>
      </c>
      <c r="Q24" s="5">
        <f>HYPERLINK("https://www.lcsc.com/product-detail/chip-resistor-surface-mount_uni-royal-uniroyal-elec-0805w8f100jt5e_C17415.html","LCSC")</f>
      </c>
      <c r="R24" s="5">
        <f>HYPERLINK("https://www.lcsc.com/datasheet/lcsc_datasheet_2206010216_UNI-ROYAL-Uniroyal-Elec-0805W8F100JT5E_C17415.pdf","PDF")</f>
      </c>
      <c r="S24" s="0" t="inlineStr">
        <is>
          <t xml:space="preserve">10</t>
        </is>
      </c>
      <c r="T24" s="4" t="inlineStr">
        <is>
          <t xml:space="preserve">-55℃~+155℃ 10Ω 125mW 150V Thick Film Resistor ±1% ±200ppm/℃ 0805 Chip Resistor - Surface Mount ROHS</t>
        </is>
      </c>
      <c r="U24" s="11" t="inlineStr">
        <is>
          <t xml:space="preserve">value and package from the schematic; 1% thick film, JLC Basic where one exists</t>
        </is>
      </c>
    </row>
    <row r="25">
      <c r="A25" s="10">
        <v>24</v>
      </c>
      <c r="B25" s="4" t="inlineStr">
        <is>
          <t xml:space="preserve">R21 R48 R60 R72</t>
        </is>
      </c>
      <c r="C25" s="10">
        <v>4</v>
      </c>
      <c r="D25" s="10">
        <f>C25*2+20</f>
      </c>
      <c r="E25" s="4" t="inlineStr">
        <is>
          <t xml:space="preserve">resistor 5.1 ohm 1 % (0805)</t>
        </is>
      </c>
      <c r="F25" s="0" t="inlineStr">
        <is>
          <t xml:space="preserve">UNI-ROYAL(Uniroyal Elec)</t>
        </is>
      </c>
      <c r="G25" s="0" t="inlineStr">
        <is>
          <t xml:space="preserve">0805W8F510KT5E</t>
        </is>
      </c>
      <c r="H25" s="0" t="inlineStr">
        <is>
          <t xml:space="preserve">C17724</t>
        </is>
      </c>
      <c r="I25" s="0" t="inlineStr">
        <is>
          <t xml:space="preserve">Basic</t>
        </is>
      </c>
      <c r="J25" s="3">
        <v>0.0041</v>
      </c>
      <c r="K25" s="2">
        <f>D25*J25</f>
      </c>
      <c r="L25" s="10">
        <v>418343</v>
      </c>
      <c r="M25" s="0" t="inlineStr">
        <is>
          <t xml:space="preserve">0805</t>
        </is>
      </c>
      <c r="N25" s="0" t="inlineStr">
        <is>
          <t xml:space="preserve">bottom</t>
        </is>
      </c>
      <c r="O25" s="0" t="inlineStr">
        <is>
          <t xml:space="preserve">JLC</t>
        </is>
      </c>
      <c r="P25" s="5">
        <f>HYPERLINK("https://jlcpcb.com/partdetail/18412-0805W8F510KT5E/C17724","JLC")</f>
      </c>
      <c r="Q25" s="5">
        <f>HYPERLINK("https://www.lcsc.com/product-detail/chip-resistor-surface-mount_uni-royal-uniroyal-elec-0805w8f510kt5e_C17724.html","LCSC")</f>
      </c>
      <c r="R25" s="5">
        <f>HYPERLINK("https://www.lcsc.com/datasheet/lcsc_datasheet_2206010200_UNI-ROYAL-Uniroyal-Elec-0805W8F510KT5E_C17724.pdf","PDF")</f>
      </c>
      <c r="S25" s="0" t="inlineStr">
        <is>
          <t xml:space="preserve">5.1</t>
        </is>
      </c>
      <c r="T25" s="4" t="inlineStr">
        <is>
          <t xml:space="preserve">-55℃~+155℃ 125mW 150V 5.1Ω Thick Film Resistor ±1% ±200ppm/℃ 0805 Chip Resistor - Surface Mount ROHS</t>
        </is>
      </c>
      <c r="U25" s="11" t="inlineStr">
        <is>
          <t xml:space="preserve">your choice of 2026-09-24; rev6: 5 -&gt; 5.1 Ohm (5.0 Ohm 0805 is not stocked), the value R59/R70 already use Alternates: C25273 4.99 Ohm</t>
        </is>
      </c>
    </row>
    <row r="26">
      <c r="A26" s="10">
        <v>25</v>
      </c>
      <c r="B26" s="4" t="inlineStr">
        <is>
          <t xml:space="preserve">R22 R50 R56</t>
        </is>
      </c>
      <c r="C26" s="10">
        <v>3</v>
      </c>
      <c r="D26" s="10">
        <f>C26*2+20</f>
      </c>
      <c r="E26" s="4" t="inlineStr">
        <is>
          <t xml:space="preserve">resistor 100 ohm 1 % (0603)</t>
        </is>
      </c>
      <c r="F26" s="0" t="inlineStr">
        <is>
          <t xml:space="preserve">UNI-ROYAL(Uniroyal Elec)</t>
        </is>
      </c>
      <c r="G26" s="0" t="inlineStr">
        <is>
          <t xml:space="preserve">0603WAF1000T5E</t>
        </is>
      </c>
      <c r="H26" s="0" t="inlineStr">
        <is>
          <t xml:space="preserve">C22775</t>
        </is>
      </c>
      <c r="I26" s="0" t="inlineStr">
        <is>
          <t xml:space="preserve">Basic</t>
        </is>
      </c>
      <c r="J26" s="3">
        <v>0.0031</v>
      </c>
      <c r="K26" s="2">
        <f>D26*J26</f>
      </c>
      <c r="L26" s="10">
        <v>11576722</v>
      </c>
      <c r="M26" s="0" t="inlineStr">
        <is>
          <t xml:space="preserve">0603</t>
        </is>
      </c>
      <c r="N26" s="0" t="inlineStr">
        <is>
          <t xml:space="preserve">top</t>
        </is>
      </c>
      <c r="O26" s="0" t="inlineStr">
        <is>
          <t xml:space="preserve">JLC</t>
        </is>
      </c>
      <c r="P26" s="5">
        <f>HYPERLINK("https://jlcpcb.com/partdetail/23502-0603WAF1000T5E/C22775","JLC")</f>
      </c>
      <c r="Q26" s="5">
        <f>HYPERLINK("https://www.lcsc.com/product-detail/chip-resistor-surface-mount_uni-royal-uniroyal-elec-0603waf1000t5e_C22775.html","LCSC")</f>
      </c>
      <c r="R26" s="5">
        <f>HYPERLINK("https://www.lcsc.com/datasheet/lcsc_datasheet_2411221126_UNI-ROYAL-Uniroyal-Elec-0603WAF1000T5E_C22775.pdf","PDF")</f>
      </c>
      <c r="S26" s="0" t="inlineStr">
        <is>
          <t xml:space="preserve">100</t>
        </is>
      </c>
      <c r="T26" s="4" t="inlineStr">
        <is>
          <t xml:space="preserve">-55℃~+155℃ 100mW 100Ω 75V Thick Film Resistor ±1% ±100ppm/℃ 0603 Chip Resistor - Surface Mount ROHS</t>
        </is>
      </c>
      <c r="U26" s="11" t="inlineStr">
        <is>
          <t xml:space="preserve">value and package from the schematic; 1% thick film, JLC Basic where one exists</t>
        </is>
      </c>
    </row>
    <row r="27">
      <c r="A27" s="10">
        <v>26</v>
      </c>
      <c r="B27" s="4" t="inlineStr">
        <is>
          <t xml:space="preserve">R49 R61 R62 R73 R74 R75 R76 R104</t>
        </is>
      </c>
      <c r="C27" s="10">
        <v>8</v>
      </c>
      <c r="D27" s="10">
        <f>C27*2+20</f>
      </c>
      <c r="E27" s="4" t="inlineStr">
        <is>
          <t xml:space="preserve">resistor 10k ohm 1 % (0603)</t>
        </is>
      </c>
      <c r="F27" s="0" t="inlineStr">
        <is>
          <t xml:space="preserve">UNI-ROYAL(Uniroyal Elec)</t>
        </is>
      </c>
      <c r="G27" s="0" t="inlineStr">
        <is>
          <t xml:space="preserve">0603WAF1002T5E</t>
        </is>
      </c>
      <c r="H27" s="0" t="inlineStr">
        <is>
          <t xml:space="preserve">C25804</t>
        </is>
      </c>
      <c r="I27" s="0" t="inlineStr">
        <is>
          <t xml:space="preserve">Basic</t>
        </is>
      </c>
      <c r="J27" s="3">
        <v>0.0018</v>
      </c>
      <c r="K27" s="2">
        <f>D27*J27</f>
      </c>
      <c r="L27" s="10">
        <v>23109251</v>
      </c>
      <c r="M27" s="0" t="inlineStr">
        <is>
          <t xml:space="preserve">0603</t>
        </is>
      </c>
      <c r="N27" s="0" t="inlineStr">
        <is>
          <t xml:space="preserve">bottom/top</t>
        </is>
      </c>
      <c r="O27" s="0" t="inlineStr">
        <is>
          <t xml:space="preserve">JLC</t>
        </is>
      </c>
      <c r="P27" s="5">
        <f>HYPERLINK("https://jlcpcb.com/partdetail/26547-0603WAF1002T5E/C25804","JLC")</f>
      </c>
      <c r="Q27" s="5">
        <f>HYPERLINK("https://www.lcsc.com/product-detail/chip-resistor-surface-mount_uni-royal-uniroyal-elec-0603waf1002t5e_C25804.html","LCSC")</f>
      </c>
      <c r="R27" s="5">
        <f>HYPERLINK("https://www.lcsc.com/datasheet/lcsc_datasheet_2206010045_UNI-ROYAL-Uniroyal-Elec-0603WAF1002T5E_C25804.pdf","PDF")</f>
      </c>
      <c r="S27" s="0" t="inlineStr">
        <is>
          <t xml:space="preserve">10k</t>
        </is>
      </c>
      <c r="T27" s="4" t="inlineStr">
        <is>
          <t xml:space="preserve">-55℃~+155℃ 100mW 10kΩ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R59 R70</t>
        </is>
      </c>
      <c r="C28" s="10">
        <v>2</v>
      </c>
      <c r="D28" s="10">
        <f>C28*2+0</f>
      </c>
      <c r="E28" s="4" t="inlineStr">
        <is>
          <t xml:space="preserve">resistor 5.1 ohm 1 % (0805)</t>
        </is>
      </c>
      <c r="F28" s="0" t="inlineStr">
        <is>
          <t xml:space="preserve">UNI-ROYAL(Uniroyal Elec)</t>
        </is>
      </c>
      <c r="G28" s="0" t="inlineStr">
        <is>
          <t xml:space="preserve">0805W8F510KT5E</t>
        </is>
      </c>
      <c r="H28" s="0" t="inlineStr">
        <is>
          <t xml:space="preserve">C17724</t>
        </is>
      </c>
      <c r="I28" s="0" t="inlineStr">
        <is>
          <t xml:space="preserve">Basic</t>
        </is>
      </c>
      <c r="J28" s="3">
        <v>0.0041</v>
      </c>
      <c r="K28" s="2">
        <f>D28*J28</f>
      </c>
      <c r="L28" s="10">
        <v>418343</v>
      </c>
      <c r="M28" s="0" t="inlineStr">
        <is>
          <t xml:space="preserve">0805</t>
        </is>
      </c>
      <c r="N28" s="0" t="inlineStr">
        <is>
          <t xml:space="preserve">bottom/top</t>
        </is>
      </c>
      <c r="O28" s="0" t="inlineStr">
        <is>
          <t xml:space="preserve">JLC</t>
        </is>
      </c>
      <c r="P28" s="5">
        <f>HYPERLINK("https://jlcpcb.com/partdetail/18412-0805W8F510KT5E/C17724","JLC")</f>
      </c>
      <c r="Q28" s="5">
        <f>HYPERLINK("https://www.lcsc.com/product-detail/chip-resistor-surface-mount_uni-royal-uniroyal-elec-0805w8f510kt5e_C17724.html","LCSC")</f>
      </c>
      <c r="R28" s="5">
        <f>HYPERLINK("https://www.lcsc.com/datasheet/lcsc_datasheet_2206010200_UNI-ROYAL-Uniroyal-Elec-0805W8F510KT5E_C17724.pdf","PDF")</f>
      </c>
      <c r="S28" s="0" t="inlineStr">
        <is>
          <t xml:space="preserve">5.1</t>
        </is>
      </c>
      <c r="T28" s="4" t="inlineStr">
        <is>
          <t xml:space="preserve">-55℃~+155℃ 125mW 150V 5.1Ω Thick Film Resistor ±1% ±200ppm/℃ 0805 Chip Resistor - Surface Mount ROHS</t>
        </is>
      </c>
      <c r="U28" s="11" t="inlineStr">
        <is>
          <t xml:space="preserve">value and package from the schematic; 1% thick film, JLC Basic where one exists</t>
        </is>
      </c>
    </row>
    <row r="29">
      <c r="A29" s="10">
        <v>28</v>
      </c>
      <c r="B29" s="4" t="inlineStr">
        <is>
          <t xml:space="preserve">U1 U17</t>
        </is>
      </c>
      <c r="C29" s="10">
        <v>2</v>
      </c>
      <c r="D29" s="10">
        <f>C29*2+0</f>
      </c>
      <c r="E29" s="4" t="inlineStr">
        <is>
          <t xml:space="preserve">linear regulator 5 V 100 mA</t>
        </is>
      </c>
      <c r="F29" s="0" t="inlineStr">
        <is>
          <t xml:space="preserve">STMicroelectronics</t>
        </is>
      </c>
      <c r="G29" s="0" t="inlineStr">
        <is>
          <t xml:space="preserve">L78L05ACUTR</t>
        </is>
      </c>
      <c r="H29" s="0" t="inlineStr">
        <is>
          <t xml:space="preserve">C43116</t>
        </is>
      </c>
      <c r="I29" s="0" t="inlineStr">
        <is>
          <t xml:space="preserve">Extended</t>
        </is>
      </c>
      <c r="J29" s="3">
        <v>0.102</v>
      </c>
      <c r="K29" s="2">
        <f>D29*J29</f>
      </c>
      <c r="L29" s="10">
        <v>21384</v>
      </c>
      <c r="M29" s="0" t="inlineStr">
        <is>
          <t xml:space="preserve">SOT-89</t>
        </is>
      </c>
      <c r="N29" s="0" t="inlineStr">
        <is>
          <t xml:space="preserve">top</t>
        </is>
      </c>
      <c r="O29" s="0" t="inlineStr">
        <is>
          <t xml:space="preserve">JLC</t>
        </is>
      </c>
      <c r="P29" s="5">
        <f>HYPERLINK("https://jlcpcb.com/partdetail/STMicroelectronics-L78L05ACUTR/C43116","JLC")</f>
      </c>
      <c r="Q29" s="5">
        <f>HYPERLINK("https://www.lcsc.com/product-detail/voltage-regulators-linear-low-drop-out-ldo-regulators_stmicroelectronics-l78l05acutr_C43116.html","LCSC")</f>
      </c>
      <c r="R29" s="5">
        <f>HYPERLINK("https://www.lcsc.com/datasheet/lcsc_datasheet_1809200029_STMicroelectronics-L78L05ACUTR_C43116.pdf","PDF")</f>
      </c>
      <c r="S29" s="0" t="inlineStr">
        <is>
          <t xml:space="preserve">L78L05</t>
        </is>
      </c>
      <c r="T29" s="4" t="inlineStr">
        <is>
          <t xml:space="preserve">0℃~+125℃@(Tj) 1 1.7V 100mA 20V 40uV 49dB@(120Hz) 5V 6mA Fixed Over Current Protection、Over Temperature Protection、Short Circuit Protection Positive SOT-89-3 Voltage Regulators - Linear, Low Drop Out (LDO) Regulators ROHS</t>
        </is>
      </c>
      <c r="U29" s="11" t="inlineStr">
        <is>
          <t xml:space="preserve">the device named in the schematic or the notes; ST L78L05ACUTR (pinout OUT-GND-IN as the symbol)</t>
        </is>
      </c>
    </row>
    <row r="30">
      <c r="A30" s="10">
        <v>29</v>
      </c>
      <c r="B30" s="4" t="inlineStr">
        <is>
          <t xml:space="preserve">U6 U11 U12</t>
        </is>
      </c>
      <c r="C30" s="10">
        <v>3</v>
      </c>
      <c r="D30" s="10">
        <f>C30*2+20</f>
      </c>
      <c r="E30" s="4" t="inlineStr">
        <is>
          <t xml:space="preserve">op-amp, rail-to-rail, 1 MHz</t>
        </is>
      </c>
      <c r="F30" s="0" t="inlineStr">
        <is>
          <t xml:space="preserve">Texas Instruments</t>
        </is>
      </c>
      <c r="G30" s="0" t="inlineStr">
        <is>
          <t xml:space="preserve">TLV9001IDBVR</t>
        </is>
      </c>
      <c r="H30" s="0" t="inlineStr">
        <is>
          <t xml:space="preserve">C398363</t>
        </is>
      </c>
      <c r="I30" s="0" t="inlineStr">
        <is>
          <t xml:space="preserve">Extended</t>
        </is>
      </c>
      <c r="J30" s="3">
        <v>0.0979</v>
      </c>
      <c r="K30" s="2">
        <f>D30*J30</f>
      </c>
      <c r="L30" s="10">
        <v>48438</v>
      </c>
      <c r="M30" s="0" t="inlineStr">
        <is>
          <t xml:space="preserve">SOT-23-5</t>
        </is>
      </c>
      <c r="N30" s="0" t="inlineStr">
        <is>
          <t xml:space="preserve">top</t>
        </is>
      </c>
      <c r="O30" s="0" t="inlineStr">
        <is>
          <t xml:space="preserve">JLC</t>
        </is>
      </c>
      <c r="P30" s="5">
        <f>HYPERLINK("https://jlcpcb.com/partdetail/TexasInstruments-TLV9001IDBVR/C398363","JLC")</f>
      </c>
      <c r="Q30" s="5">
        <f>HYPERLINK("https://www.lcsc.com/product-detail/operational-amplifier_texas-instruments-tlv9001idbvr_C398363.html","LCSC")</f>
      </c>
      <c r="R30" s="5">
        <f>HYPERLINK("https://www.lcsc.com/datasheet/lcsc_datasheet_2410010130_Texas-Instruments-TLV9001IDBVR_C398363.pdf","PDF")</f>
      </c>
      <c r="S30" s="0" t="inlineStr">
        <is>
          <t xml:space="preserve">TLV9001</t>
        </is>
      </c>
      <c r="T30" s="4" t="inlineStr">
        <is>
          <t xml:space="preserve">-2.75V~-900mV、900mV~2.75V -40℃~+125℃ 1 1.6mV 1.8V~5.5V 1MHz 2V/us 2pA 4.7nV/√Hz@1kHz 40mA 5pA 600nV/℃ 60uA 86dB Enable/shutdown function、EMI filtering/RF suppression Rail-to-Rail Input, Rail-to-Rail Output SOT-23-5 Operational Amplifier ROHS</t>
        </is>
      </c>
      <c r="U30"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1">
      <c r="A31" s="10">
        <v>30</v>
      </c>
      <c r="B31" s="4" t="inlineStr">
        <is>
          <t xml:space="preserve">U8 U10 U15 U19</t>
        </is>
      </c>
      <c r="C31" s="10">
        <v>4</v>
      </c>
      <c r="D31" s="10">
        <f>C31*2+0</f>
      </c>
      <c r="E31" s="4" t="inlineStr">
        <is>
          <t xml:space="preserve">isolated dual gate driver</t>
        </is>
      </c>
      <c r="F31" s="0" t="inlineStr">
        <is>
          <t xml:space="preserve">Texas Instruments</t>
        </is>
      </c>
      <c r="G31" s="0" t="inlineStr">
        <is>
          <t xml:space="preserve">UCC21520DWR</t>
        </is>
      </c>
      <c r="H31" s="0" t="inlineStr">
        <is>
          <t xml:space="preserve">C601651</t>
        </is>
      </c>
      <c r="I31" s="0" t="inlineStr">
        <is>
          <t xml:space="preserve">Extended</t>
        </is>
      </c>
      <c r="J31" s="3">
        <v>0.8893</v>
      </c>
      <c r="K31" s="2">
        <f>D31*J31</f>
      </c>
      <c r="L31" s="10">
        <v>17156</v>
      </c>
      <c r="M31" s="0" t="inlineStr">
        <is>
          <t xml:space="preserve">SOIC-16W</t>
        </is>
      </c>
      <c r="N31" s="0" t="inlineStr">
        <is>
          <t xml:space="preserve">bottom</t>
        </is>
      </c>
      <c r="O31" s="0" t="inlineStr">
        <is>
          <t xml:space="preserve">JLC</t>
        </is>
      </c>
      <c r="P31" s="5">
        <f>HYPERLINK("https://jlcpcb.com/partdetail/TexasInstruments-UCC21520DWR/C601651","JLC")</f>
      </c>
      <c r="Q31" s="5">
        <f>HYPERLINK("https://www.lcsc.com/product-detail/isolators-gate-drivers_texas-instruments-ucc21520dwr_C601651.html","LCSC")</f>
      </c>
      <c r="R31" s="5">
        <f>HYPERLINK("https://www.lcsc.com/datasheet/lcsc_datasheet_2006102223_Texas-Instruments-UCC21520DWR_C601651.pdf","PDF")</f>
      </c>
      <c r="S31" s="0" t="inlineStr">
        <is>
          <t xml:space="preserve">UCC21520DW</t>
        </is>
      </c>
      <c r="T31" s="4" t="inlineStr">
        <is>
          <t xml:space="preserve">-40℃~+150℃@(Tj) 0.8V~1.2V 1.2V~2V 125kV/us 2 3V~18V 45ns 45ns 4A 5700 6A 9.2V~25V MOSFET、IGBT SOIC-16-300mil Isolators - Gate Drivers ROHS</t>
        </is>
      </c>
      <c r="U31" s="11" t="inlineStr">
        <is>
          <t xml:space="preserve">the device named in the schematic or the notes</t>
        </is>
      </c>
    </row>
    <row r="32">
      <c r="A32" s="10">
        <v>31</v>
      </c>
      <c r="B32" s="4" t="inlineStr">
        <is>
          <t xml:space="preserve">U16</t>
        </is>
      </c>
      <c r="C32" s="10">
        <v>1</v>
      </c>
      <c r="D32" s="10">
        <f>C32*2+0</f>
      </c>
      <c r="E32" s="4" t="inlineStr">
        <is>
          <t xml:space="preserve">linear regulator 12 V 1 A (7812)</t>
        </is>
      </c>
      <c r="F32" s="0" t="inlineStr">
        <is>
          <t xml:space="preserve">onsemi</t>
        </is>
      </c>
      <c r="G32" s="0" t="inlineStr">
        <is>
          <t xml:space="preserve">MC7812BD2TR4G</t>
        </is>
      </c>
      <c r="H32" s="0" t="inlineStr">
        <is>
          <t xml:space="preserve">C231294</t>
        </is>
      </c>
      <c r="I32" s="0" t="inlineStr">
        <is>
          <t xml:space="preserve">Extended</t>
        </is>
      </c>
      <c r="J32" s="3">
        <v>0.5316</v>
      </c>
      <c r="K32" s="2">
        <f>D32*J32</f>
      </c>
      <c r="L32" s="10">
        <v>2024</v>
      </c>
      <c r="M32" s="0" t="inlineStr">
        <is>
          <t xml:space="preserve">TO-263-3</t>
        </is>
      </c>
      <c r="N32" s="0" t="inlineStr">
        <is>
          <t xml:space="preserve">top</t>
        </is>
      </c>
      <c r="O32" s="0" t="inlineStr">
        <is>
          <t xml:space="preserve">JLC</t>
        </is>
      </c>
      <c r="P32" s="5">
        <f>HYPERLINK("https://jlcpcb.com/partdetail/onsemi-MC7812BD2TR4G/C231294","JLC")</f>
      </c>
      <c r="Q32" s="5">
        <f>HYPERLINK("https://www.lcsc.com/product-detail/voltage-regulators-linear-low-drop-out-ldo-regulators_onsemi-mc7812bd2tr4g_C231294.html","LCSC")</f>
      </c>
      <c r="R32" s="5">
        <f>HYPERLINK("https://www.lcsc.com/datasheet/lcsc_datasheet_2210210200_onsemi-MC7812BD2TR4G_C231294.pdf","PDF")</f>
      </c>
      <c r="S32" s="0" t="inlineStr">
        <is>
          <t xml:space="preserve">MC7812</t>
        </is>
      </c>
      <c r="T32" s="4" t="inlineStr">
        <is>
          <t xml:space="preserve">-40℃~+125℃@(Tj) 1 12V 1A 27V 2V@(1.0A) 3.4mA 60dB@(120Hz) Fixed Over Temperature Protection、Short Circuit Protection Positive TO-263-2 Voltage Regulators - Linear, Low Drop Out (LDO) Regulators ROHS</t>
        </is>
      </c>
      <c r="U32" s="11" t="inlineStr">
        <is>
          <t xml:space="preserve">approved 2026-10-01: 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BOOST_split_boards/mc7812_lowbatt_2026-10-01) Alternates: C38744 MC7812CD2TR4G (0 to +125 C); C2877347 LM2940S-12/NOPB (before 2026-10-01)</t>
        </is>
      </c>
    </row>
    <row r="33">
      <c r="A33" s="10">
        <v>32</v>
      </c>
      <c r="B33" s="4" t="inlineStr">
        <is>
          <t xml:space="preserve">U25</t>
        </is>
      </c>
      <c r="C33" s="10">
        <v>1</v>
      </c>
      <c r="D33" s="10">
        <f>C33*2+0</f>
      </c>
      <c r="E33" s="4" t="inlineStr">
        <is>
          <t xml:space="preserve">current-sense amplifier, gain 100</t>
        </is>
      </c>
      <c r="F33" s="0" t="inlineStr">
        <is>
          <t xml:space="preserve">Texas Instruments</t>
        </is>
      </c>
      <c r="G33" s="0" t="inlineStr">
        <is>
          <t xml:space="preserve">INA241A4IDR</t>
        </is>
      </c>
      <c r="H33" s="0" t="inlineStr">
        <is>
          <t xml:space="preserve">C22427873</t>
        </is>
      </c>
      <c r="I33" s="0" t="inlineStr">
        <is>
          <t xml:space="preserve">Extended</t>
        </is>
      </c>
      <c r="J33" s="3">
        <v>3.5277</v>
      </c>
      <c r="K33" s="2">
        <f>D33*J33</f>
      </c>
      <c r="L33" s="10">
        <v>116</v>
      </c>
      <c r="M33" s="0" t="inlineStr">
        <is>
          <t xml:space="preserve">SOIC-8</t>
        </is>
      </c>
      <c r="N33" s="0" t="inlineStr">
        <is>
          <t xml:space="preserve">top</t>
        </is>
      </c>
      <c r="O33" s="0" t="inlineStr">
        <is>
          <t xml:space="preserve">JLC</t>
        </is>
      </c>
      <c r="P33" s="5">
        <f>HYPERLINK("https://jlcpcb.com/partdetail/TexasInstruments-INA241A4IDR/C22427873","JLC")</f>
      </c>
      <c r="Q33" s="0"/>
      <c r="R33" s="0"/>
      <c r="S33" s="0" t="inlineStr">
        <is>
          <t xml:space="preserve">INA241A4</t>
        </is>
      </c>
      <c r="T33" s="4" t="inlineStr">
        <is>
          <t xml:space="preserve">SOIC-8 Current Sense Amplifiers ROHS</t>
        </is>
      </c>
      <c r="U33" s="11" t="inlineStr">
        <is>
          <t xml:space="preserve">your choice of 2026-09-24; rev6: gain 100 V/V with the 1 mOhm R1; TI SBOSA30D: same SOIC-8 pinout for every gain, 1.1 MHz for all gains Alternates: C22427652 INA241A3IDR (rev5)</t>
        </is>
      </c>
    </row>
    <row r="34">
</row>
    <row r="35">
      <c r="A35" s="0"/>
      <c r="B35" s="6" t="inlineStr">
        <is>
          <t xml:space="preserve">Parts total (JLC lines, 2 boards + attrition)</t>
        </is>
      </c>
      <c r="C35" s="0"/>
      <c r="D35" s="0"/>
      <c r="E35" s="0"/>
      <c r="F35" s="0"/>
      <c r="G35" s="0"/>
      <c r="H35" s="0"/>
      <c r="I35" s="0"/>
      <c r="J35" s="0"/>
      <c r="K35" s="7">
        <f>SUMIFS(K2:K33,O2:O33,"JLC")</f>
      </c>
    </row>
    <row r="36">
      <c r="A36" s="0"/>
      <c r="B36" s="6" t="inlineStr">
        <is>
          <t xml:space="preserve">Parts you buy or own (priced lines)</t>
        </is>
      </c>
      <c r="C36" s="0"/>
      <c r="D36" s="0"/>
      <c r="E36" s="0"/>
      <c r="F36" s="0"/>
      <c r="G36" s="0"/>
      <c r="H36" s="0"/>
      <c r="I36" s="0"/>
      <c r="J36" s="0"/>
      <c r="K36" s="7">
        <f>SUMIFS(K2:K33,O2:O33,"you (hand)")</f>
      </c>
    </row>
    <row r="37">
      <c r="A37" s="0"/>
      <c r="B37" s="6" t="inlineStr">
        <is>
          <t xml:space="preserve">Unique JLC part numbers (feeder loading $1.53 each)</t>
        </is>
      </c>
      <c r="C37" s="0"/>
      <c r="D37" s="0"/>
      <c r="E37" s="0"/>
      <c r="F37" s="0"/>
      <c r="G37" s="0"/>
      <c r="H37" s="0"/>
      <c r="I37" s="0"/>
      <c r="J37" s="0"/>
      <c r="K37" s="10">
        <v>28</v>
      </c>
    </row>
  </sheetData>
  <autoFilter ref="A1:U33"/>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your choice of 2026-09-24; no diode type in the schematic (LTspice default silicon diode). Proposal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your choice of 2026-09-24; no type in the schematic; the design notes show BAT54 on this path (Output -&gt; .1Vref_n). Proposal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you (hand)</t>
        </is>
      </c>
      <c r="P13" s="5">
        <f>HYPERLINK("https://www.samtec.com/products/tsw-115-07-g-d","Maker")</f>
      </c>
      <c r="Q13" s="0"/>
      <c r="R13" s="0"/>
      <c r="S13" s="0" t="inlineStr">
        <is>
          <t xml:space="preserve">TSW-115-07-G-D</t>
        </is>
      </c>
      <c r="T13" s="0"/>
      <c r="U13" s="11" t="inlineStr">
        <is>
          <t xml:space="preserve">Mouser price as listed on samtec.com (2026-09-25); bought by you, fitted by you. the device named in the schematic or the notes;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your choice of 2026-09-24; no transistor type in the schematic (LTspice generic PNP). Proposal MMBT3906 Alternates: C2143 JSCJ MMBT3906</t>
        </is>
      </c>
    </row>
    <row r="15">
      <c r="A15" s="10">
        <v>14</v>
      </c>
      <c r="B15" s="4" t="inlineStr">
        <is>
          <t xml:space="preserve">R2 R6 R31 R33 R39 R41 R67 R77 R83 R85 R100 R101 R103</t>
        </is>
      </c>
      <c r="C15" s="10">
        <v>13</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 R99 R102</t>
        </is>
      </c>
      <c r="C17" s="10">
        <v>7</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 R106 R107</t>
        </is>
      </c>
      <c r="C25" s="10">
        <v>5</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device named in the schematic or the notes</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device named in the schematic or the notes</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part chosen earlier (HANDOFF_SUMMARY / replace_notes / ANSWERS); 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device named in the schematic or the notes</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device named in the schematic or the notes</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device named in the schematic or the notes</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device named in the schematic or the notes;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you buy or own (priced lines)</t>
        </is>
      </c>
      <c r="C46" s="0"/>
      <c r="D46" s="0"/>
      <c r="E46" s="0"/>
      <c r="F46" s="0"/>
      <c r="G46" s="0"/>
      <c r="H46" s="0"/>
      <c r="I46" s="0"/>
      <c r="J46" s="0"/>
      <c r="K46" s="7">
        <f>SUMIFS(K2:K43,O2:O43,"you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read 2026-09-30 (7,030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 by you 2026-09-25</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 by you 2026-09-25</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 2026-09-25</t>
        </is>
      </c>
      <c r="H13" s="5">
        <f>HYPERLINK("https://www.mcmaster.com/1272N32/","link")</f>
      </c>
      <c r="I13" s="11" t="inlineStr">
        <is>
          <t xml:space="preserve">Default pad. Alternatives: Parker G579 $128.75; t-Global TG-AD30 (price not read). See COST_SUMMARY.md</t>
        </is>
      </c>
    </row>
    <row r="14">
</row>
    <row r="15">
      <c r="A15" s="6" t="inlineStr">
        <is>
          <t xml:space="preserve">Total bought elsewhere (with the McMaster pad)</t>
        </is>
      </c>
      <c r="B15" s="0"/>
      <c r="C15" s="0"/>
      <c r="D15" s="0"/>
      <c r="E15" s="7">
        <f>SUM(E2:E13)</f>
      </c>
    </row>
    <row r="16">
      <c r="A16" s="11" t="inlineStr">
        <is>
          <t xml:space="preserve">Prices are the 2026-09-25 readings except the PTC (read 2026-09-30).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 2026-10-01</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board'!K37*1.53</f>
      </c>
      <c r="C5" s="2">
        <f>'Control card'!K47*1.53</f>
      </c>
      <c r="D5" s="11" t="inlineStr">
        <is>
          <t xml:space="preserve">Basic or Extended, Standard PCBA</t>
        </is>
      </c>
    </row>
    <row r="6">
      <c r="A6" s="0" t="inlineStr">
        <is>
          <t xml:space="preserve">Solder joints ($0.0016 each)</t>
        </is>
      </c>
      <c r="B6" s="2">
        <v>0.91</v>
      </c>
      <c r="C6" s="2">
        <v>1.52</v>
      </c>
      <c r="D6" s="11" t="inlineStr">
        <is>
          <t xml:space="preserve">566 / 952 joints for 2 boards</t>
        </is>
      </c>
    </row>
    <row r="7">
      <c r="A7" s="0" t="inlineStr">
        <is>
          <t xml:space="preserve">JLC parts (2 boards + attrition)</t>
        </is>
      </c>
      <c r="B7" s="2">
        <f>'Power board'!K35</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Applied</t>
        </is>
      </c>
    </row>
    <row r="3">
      <c r="A3" s="4" t="inlineStr">
        <is>
          <t xml:space="preserve">Control card 8 -&gt; 6 layers (2026-09-30)</t>
        </is>
      </c>
      <c r="B3" s="2">
        <v>63.47</v>
      </c>
      <c r="C3" s="4" t="inlineStr">
        <is>
          <t xml:space="preserve">card panel $137.04 -&gt; $73.57</t>
        </is>
      </c>
      <c r="D3" s="4" t="inlineStr">
        <is>
          <t xml:space="preserve">applied</t>
        </is>
      </c>
    </row>
    <row r="4">
      <c r="A4" s="4" t="inlineStr">
        <is>
          <t xml:space="preserve">220 uF output caps: EEH-ZS1H221P (C385885) on C70, C71, C75, C77, C78, C88; EEH-ZU1H221P stays on C74, C86, C87</t>
        </is>
      </c>
      <c r="B4" s="2">
        <v>12.89</v>
      </c>
      <c r="C4" s="4" t="inlineStr">
        <is>
          <t xml:space="preserve">also cleared the ZU stock shortage (14 in stock, now 6 needed)</t>
        </is>
      </c>
      <c r="D4" s="4" t="inlineStr">
        <is>
          <t xml:space="preserve">applied</t>
        </is>
      </c>
    </row>
    <row r="5">
      <c r="A5" s="4" t="inlineStr">
        <is>
          <t xml:space="preserve">Card inner copper 0.5 oz</t>
        </is>
      </c>
      <c r="B5" s="2">
        <v>16.74</v>
      </c>
      <c r="C5" s="4" t="inlineStr">
        <is>
          <t xml:space="preserve">card panel $73.57 -&gt; $56.83; stackup now 1.547 mm (JLC 6-layer 1/0.5 oz build); Gerber layers unchanged</t>
        </is>
      </c>
      <c r="D5" s="4" t="inlineStr">
        <is>
          <t xml:space="preserve">applied</t>
        </is>
      </c>
    </row>
    <row r="6">
      <c r="A6" s="4" t="inlineStr">
        <is>
          <t xml:space="preserve">12 V regulator U16: onsemi MC7812BD2TR4G (C231294) for the TI LM2940S-12/NOPB</t>
        </is>
      </c>
      <c r="B6" s="2">
        <v>8.1</v>
      </c>
      <c r="C6" s="4" t="inlineStr">
        <is>
          <t xml:space="preserve">your choice, 2026-10-01. Same TO-263 footprint; the gerbers do not change. About 1.5 V dropout: at the end of a 4S discharge the LEDs fade from about 12.7 V open-circuit instead of 11.3 V (simulated, `mc7812_lowbatt_2026-10-01`). Its lower bias current makes it run about 2 C cooler than the LM2940 at 18 V; it also cleared the LM2940 stock problem (2 in stock)</t>
        </is>
      </c>
      <c r="D6" s="4" t="inlineStr">
        <is>
          <t xml:space="preserve">applied</t>
        </is>
      </c>
    </row>
    <row r="7">
      <c r="A7" s="4" t="inlineStr">
        <is>
          <t xml:space="preserve">Power board: 6 layers instead of 8</t>
        </is>
      </c>
      <c r="B7" s="2">
        <v>54.53</v>
      </c>
      <c r="C7" s="4" t="inlineStr">
        <is>
          <t xml:space="preserve">your choice, 2026-10-01/02: $124.10 -&gt; $69.57. The 5 V plane (In4) and the second GND plane (In6) are gone, 5 V is routed as tracks, and the GND pours, vias and two gate-drive routes were reworked. Stackup JLC061611-7628D (must be specified at order). Copper solve, loop inductance, M1 turn-off and U16 thermal re-checked (`power6_2026-10-01/README.md`)</t>
        </is>
      </c>
      <c r="D7" s="4" t="inlineStr">
        <is>
          <t xml:space="preserve">applied</t>
        </is>
      </c>
    </row>
    <row r="8">
      <c r="A8" s="4" t="inlineStr">
        <is>
          <t xml:space="preserve">Op-amps: TI TLV9001IDBVR for the 18 MCP6241 (same SOT-23-5 pinout)</t>
        </is>
      </c>
      <c r="B8" s="2">
        <v>8.78</v>
      </c>
      <c r="C8" s="4" t="inlineStr">
        <is>
          <t xml:space="preserve">LTspice re-runs against the MCP6241 (30 ms full power, 25 % PWM, cold start to 140 ms): LED currents, LX, TVS energy and servo levels match within 0.05 %</t>
        </is>
      </c>
      <c r="D8" s="4" t="inlineStr">
        <is>
          <t xml:space="preserve">applied</t>
        </is>
      </c>
    </row>
    <row r="9">
</row>
    <row r="10">
      <c r="A10" s="6" t="inlineStr">
        <is>
          <t xml:space="preserve">Still open (your choice)</t>
        </is>
      </c>
    </row>
    <row r="11">
      <c r="A11" s="4" t="inlineStr">
        <is>
          <t xml:space="preserve">Samtec J10/J11 through Samtec's free-sample program</t>
        </is>
      </c>
      <c r="B11" s="2">
        <v>24.62</v>
      </c>
      <c r="C11" s="4" t="inlineStr">
        <is>
          <t xml:space="preserve">Needs a Samtec account (your choice). A generic header pair would need the exact stack height re-checked.</t>
        </is>
      </c>
      <c r="D11" s="4" t="inlineStr">
        <is>
          <t xml:space="preserve">Worth asking Samtec</t>
        </is>
      </c>
    </row>
    <row r="12">
      <c r="A12" s="4" t="inlineStr">
        <is>
          <t xml:space="preserve">Ordering</t>
        </is>
      </c>
      <c r="B12" s="0" t="inlineStr">
        <is>
          <t xml:space="preserve">shipping</t>
        </is>
      </c>
      <c r="C12" s="4" t="inlineStr">
        <is>
          <t xml:space="preserve">Pay both JLC orders together so they ship as one parcel; JLC's JLCONE desktop app advertises $1-20 off per order; check the coupons in your JLC account.</t>
        </is>
      </c>
      <c r="D12" s="4" t="inlineStr">
        <is>
          <t xml:space="preserve">Do it</t>
        </is>
      </c>
    </row>
    <row r="13">
</row>
    <row r="14">
      <c r="A14" s="6" t="inlineStr">
        <is>
          <t xml:space="preserve">Looked at, no good cheaper alternative (kept)</t>
        </is>
      </c>
    </row>
    <row r="15">
      <c r="A15" s="4" t="inlineStr">
        <is>
          <t xml:space="preserve">Comparators MCP6561 ($0.74 x 10): the cheaper parts are slower (Linearin LTC8721: 66-155 ns, 85 C), run hotter on supply current (Tokmas CSGM8743: 1.3 mA, 85 C) or save only $1.74 in all (3PEAK TP1961). TI TLV3201 costs more.</t>
        </is>
      </c>
    </row>
    <row r="16">
      <c r="A16" s="4" t="inlineStr">
        <is>
          <t xml:space="preserve">Digital pot MCP4451-103 ($2.91): already the cheapest 10 kOhm quad of its family; the 50 kOhm versions would change the current-setting network, the 7-bit MCP4441 is QFN and dearer.</t>
        </is>
      </c>
    </row>
    <row r="17">
      <c r="A17" s="4" t="inlineStr">
        <is>
          <t xml:space="preserve">L78L05 5 V regulators ($0.102 x 4): the clones cost $0.03-0.05, but under $0.10 JLC adds about 20 attrition spares per line, so the line costs more. Loads 8 mA and 3 mA (simulated).</t>
        </is>
      </c>
    </row>
    <row r="18">
      <c r="A18" s="4" t="inlineStr">
        <is>
          <t xml:space="preserve">12 V regulator, other options: the SOT-223 LM2940s (UTC $0.24, TI $1.68) run too hot at 75 C case air (`u16_thermal_2026-10-01`); Microchip MIC2940A-12WU-TR ($2.60, a true LDO in the same TO-263 footprint) is the fall-back if the low-battery fade ever matters; ST L4940 is rated for only 17 V in.</t>
        </is>
      </c>
    </row>
    <row r="19">
      <c r="A19" s="4" t="inlineStr">
        <is>
          <t xml:space="preserve">Card FR4 TG135 (-$3.43): you chose to keep TG155.</t>
        </is>
      </c>
    </row>
    <row r="20">
      <c r="A20" s="4" t="inlineStr">
        <is>
          <t xml:space="preserve">OSP finish (-$34.50): shelf life and hand soldering after two reflows.</t>
        </is>
      </c>
    </row>
    <row r="21">
      <c r="A21" s="4" t="inlineStr">
        <is>
          <t xml:space="preserve">One-sided assembly: parts on both sides of both boards.</t>
        </is>
      </c>
    </row>
    <row r="22">
      <c r="A22"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2026-10-14T04:36:36Z</dcterms:created>
</cp:coreProperties>
</file>