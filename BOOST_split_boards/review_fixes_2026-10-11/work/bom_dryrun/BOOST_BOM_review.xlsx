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sheets>
    <sheet name="Summary" sheetId="1" r:id="rId1"/>
    <sheet name="Power board" sheetId="2" r:id="rId2"/>
    <sheet name="Control card" sheetId="3" r:id="rId3"/>
    <sheet name="Bought elsewhere" sheetId="4" r:id="rId4"/>
    <sheet name="Fees" sheetId="5" r:id="rId5"/>
    <sheet name="Ways to save" sheetId="6" r:id="rId6"/>
  </sheets>
  <calcPr calcId="191029" fullCalcOnLoad="1"/>
</workbook>
</file>

<file path=xl/styles.xml><?xml version="1.0" encoding="utf-8"?>
<styleSheet xmlns="http://schemas.openxmlformats.org/spreadsheetml/2006/main">
  <numFmts count="2">
    <numFmt numFmtId="164" formatCode="&quot;$&quot;#,##0.00"/>
    <numFmt numFmtId="165" formatCode="&quot;$&quot;#,##0.0000"/>
  </numFmts>
  <fonts count="6">
    <font>
      <sz val="10"/>
      <name val="Calibri"/>
    </font>
    <font>
      <b/>
      <sz val="10"/>
      <color rgb="FFFFFFFF"/>
      <name val="Calibri"/>
    </font>
    <font>
      <u/>
      <sz val="10"/>
      <color rgb="FF0563C1"/>
      <name val="Calibri"/>
    </font>
    <font>
      <b/>
      <sz val="10"/>
      <name val="Calibri"/>
    </font>
    <font>
      <b/>
      <sz val="14"/>
      <name val="Calibri"/>
    </font>
    <font>
      <b/>
      <sz val="10"/>
      <color rgb="FFC00000"/>
      <name val="Calibri"/>
    </font>
  </fonts>
  <fills count="3">
    <fill>
      <patternFill patternType="none"/>
    </fill>
    <fill>
      <patternFill patternType="gray125"/>
    </fill>
    <fill>
      <patternFill patternType="solid">
        <fgColor rgb="FF305496"/>
        <bgColor indexed="64"/>
      </patternFill>
    </fill>
  </fills>
  <borders count="1">
    <border>
      <left/>
      <right/>
      <top/>
      <bottom/>
      <diagonal/>
    </border>
  </borders>
  <cellStyleXfs count="1">
    <xf numFmtId="0" fontId="0" fillId="0" borderId="0"/>
  </cellStyleXfs>
  <cellXfs count="12">
    <xf numFmtId="0" fontId="0" fillId="0" borderId="0" xfId="0" applyAlignment="1">
      <alignment vertical="top"/>
    </xf>
    <xf numFmtId="0" fontId="1" fillId="2" borderId="0" xfId="0" applyFont="1" applyFill="1" applyAlignment="1">
      <alignment vertical="center"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wrapText="1"/>
    </xf>
    <xf numFmtId="164" fontId="3" fillId="0" borderId="0" xfId="0" applyNumberFormat="1" applyFont="1" applyAlignment="1">
      <alignment vertical="top"/>
    </xf>
    <xf numFmtId="0" fontId="4" fillId="0" borderId="0" xfId="0" applyFont="1"/>
    <xf numFmtId="0" fontId="5" fillId="0" borderId="0" xfId="0" applyFont="1" applyAlignment="1">
      <alignment vertical="top" wrapText="1"/>
    </xf>
    <xf numFmtId="1" fontId="0" fillId="0" borderId="0" xfId="0" applyNumberFormat="1" applyAlignment="1">
      <alignment vertical="top"/>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cols>
    <col min="1" max="1" width="52.0" customWidth="1"/>
    <col min="2" max="2" width="16.0" customWidth="1"/>
    <col min="3" max="3" width="70.0" customWidth="1"/>
  </cols>
  <sheetData>
    <row r="1">
      <c r="A1" s="8" t="inlineStr">
        <is>
          <t xml:space="preserve">BOOST LED driver: bill of materials and cost</t>
        </is>
      </c>
    </row>
    <row r="2">
      <c r="A2" s="11" t="inlineStr">
        <is>
          <t xml:space="preserve">5 bare PCBs of each board; 2 complete sets assembled by JLCPCB. The JLC settings are in JLC_SELECTIONS.md.</t>
        </is>
      </c>
    </row>
    <row r="3">
</row>
    <row r="4">
      <c r="A4" s="1" t="inlineStr">
        <is>
          <t xml:space="preserve">Item</t>
        </is>
      </c>
      <c r="B4" s="1" t="inlineStr">
        <is>
          <t xml:space="preserve">Cost (USD)</t>
        </is>
      </c>
      <c r="C4" s="1" t="inlineStr">
        <is>
          <t xml:space="preserve">Notes</t>
        </is>
      </c>
    </row>
    <row r="5">
      <c r="A5" s="0" t="inlineStr">
        <is>
          <t xml:space="preserve">Power board: PCBs + JLC assembly</t>
        </is>
      </c>
      <c r="B5" s="2">
        <f>Fees!B8</f>
      </c>
      <c r="C5" s="0" t="inlineStr">
        <is>
          <t xml:space="preserve">JLC order 1</t>
        </is>
      </c>
    </row>
    <row r="6">
      <c r="A6" s="0" t="inlineStr">
        <is>
          <t xml:space="preserve">Control card: PCBs + JLC assembly</t>
        </is>
      </c>
      <c r="B6" s="2">
        <f>Fees!C8</f>
      </c>
      <c r="C6" s="0" t="inlineStr">
        <is>
          <t xml:space="preserve">JLC order 2</t>
        </is>
      </c>
    </row>
    <row r="7">
      <c r="A7" s="0" t="inlineStr">
        <is>
          <t xml:space="preserve">Bought elsewhere: J10/J11, PTC, hardware, McMaster thermal pad</t>
        </is>
      </c>
      <c r="B7" s="2">
        <f>'Bought elsewhere'!E15</f>
      </c>
      <c r="C7" s="0" t="inlineStr">
        <is>
          <t xml:space="preserve">Mouser, LCSC, McMaster-Carr, Digi-Key, Newark/Farnell</t>
        </is>
      </c>
    </row>
    <row r="8">
      <c r="A8" s="6" t="inlineStr">
        <is>
          <t xml:space="preserve">Total (shipping and tax not included)</t>
        </is>
      </c>
      <c r="B8" s="7">
        <f>SUM(B5:B7)</f>
      </c>
      <c r="C8" s="11"/>
    </row>
    <row r="9">
</row>
    <row r="10">
      <c r="A10" s="11" t="inlineStr">
        <is>
          <t xml:space="preserve">Stock: every JLC line was in stock for 2 sets when priced. Re-check on the day of ordering.</t>
        </is>
      </c>
    </row>
    <row r="11">
      <c r="A11" s="11" t="inlineStr">
        <is>
          <t xml:space="preserve">Not included: M1-M10, L1, the buck module and J9 wires (already owned); case, cabling, Arduino, LEDs; shipping and tax.</t>
        </is>
      </c>
    </row>
    <row r="12">
      <c r="A12" s="11" t="inlineStr">
        <is>
          <t xml:space="preserve">Edit a unit price or a quantity on the board sheets and every total updates.</t>
        </is>
      </c>
    </row>
  </sheetData>
  <pageSetup orientation="landscape"/>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C1 C4 C73</t>
        </is>
      </c>
      <c r="C2" s="10">
        <v>3</v>
      </c>
      <c r="D2" s="10">
        <f>C2*2+0</f>
      </c>
      <c r="E2" s="4" t="inlineStr">
        <is>
          <t xml:space="preserve">ceramic capacitor 4.7uF 100 V X7R (1210)</t>
        </is>
      </c>
      <c r="F2" s="0" t="inlineStr">
        <is>
          <t xml:space="preserve">PSA(Prosperity Dielectrics)</t>
        </is>
      </c>
      <c r="G2" s="0" t="inlineStr">
        <is>
          <t xml:space="preserve">FS32X475K101EGG</t>
        </is>
      </c>
      <c r="H2" s="0" t="inlineStr">
        <is>
          <t xml:space="preserve">C381466</t>
        </is>
      </c>
      <c r="I2" s="0" t="inlineStr">
        <is>
          <t xml:space="preserve">Extended</t>
        </is>
      </c>
      <c r="J2" s="3">
        <v>0.2328</v>
      </c>
      <c r="K2" s="2">
        <f>D2*J2</f>
      </c>
      <c r="L2" s="10">
        <v>172923</v>
      </c>
      <c r="M2" s="0" t="inlineStr">
        <is>
          <t xml:space="preserve">1210</t>
        </is>
      </c>
      <c r="N2" s="0" t="inlineStr">
        <is>
          <t xml:space="preserve">top</t>
        </is>
      </c>
      <c r="O2" s="0" t="inlineStr">
        <is>
          <t xml:space="preserve">JLC</t>
        </is>
      </c>
      <c r="P2" s="5">
        <f>HYPERLINK("https://jlcpcb.com/partdetail/354087-FS32X475K101EGG/C381466","JLC")</f>
      </c>
      <c r="Q2" s="5">
        <f>HYPERLINK("https://www.lcsc.com/product-detail/multilayer-ceramic-capacitors-mlcc-smd-smt_psa-prosperity-dielectrics-fs32x475k101egg_C381466.html","LCSC")</f>
      </c>
      <c r="R2" s="5">
        <f>HYPERLINK("https://wmsc.lcsc.com/wmsc/upload/file/pdf/v2/lcsc/2304140030_PSA-Prosperity-Dielectrics-FS32X475K101EGG_C381466.pdf","PDF")</f>
      </c>
      <c r="S2" s="0" t="inlineStr">
        <is>
          <t xml:space="preserve">4.7uF</t>
        </is>
      </c>
      <c r="T2" s="4" t="inlineStr">
        <is>
          <t xml:space="preserve">100V 4.7uF X7R ±10% 1210 Multilayer Ceramic Capacitors MLCC - SMD/SMT ROHS</t>
        </is>
      </c>
      <c r="U2" s="11" t="inlineStr">
        <is>
          <t xml:space="preserve">on Vout (23-33 V running; TVS stand-off 54 V, clamp 87 V): 100 V rated; commutation-loop ceramic per rail; 50 V part C170099 is cheaper but keeps less capacitance at 33 V Alternates: C170099 (50 V)</t>
        </is>
      </c>
    </row>
    <row r="3">
      <c r="A3" s="10">
        <v>2</v>
      </c>
      <c r="B3" s="4" t="inlineStr">
        <is>
          <t xml:space="preserve">C3 C72 C76</t>
        </is>
      </c>
      <c r="C3" s="10">
        <v>3</v>
      </c>
      <c r="D3" s="10">
        <f>C3*2+20</f>
      </c>
      <c r="E3" s="4" t="inlineStr">
        <is>
          <t xml:space="preserve">ceramic capacitor 100nF 100 V X7R (0805)</t>
        </is>
      </c>
      <c r="F3" s="0" t="inlineStr">
        <is>
          <t xml:space="preserve">Samsung Electro-Mechanics</t>
        </is>
      </c>
      <c r="G3" s="0" t="inlineStr">
        <is>
          <t xml:space="preserve">CL21B104KCFNNNE</t>
        </is>
      </c>
      <c r="H3" s="0" t="inlineStr">
        <is>
          <t xml:space="preserve">C28233</t>
        </is>
      </c>
      <c r="I3" s="0" t="inlineStr">
        <is>
          <t xml:space="preserve">Basic</t>
        </is>
      </c>
      <c r="J3" s="3">
        <v>0.0357</v>
      </c>
      <c r="K3" s="2">
        <f>D3*J3</f>
      </c>
      <c r="L3" s="10">
        <v>1258622</v>
      </c>
      <c r="M3" s="0" t="inlineStr">
        <is>
          <t xml:space="preserve">0805</t>
        </is>
      </c>
      <c r="N3" s="0" t="inlineStr">
        <is>
          <t xml:space="preserve">top</t>
        </is>
      </c>
      <c r="O3" s="0" t="inlineStr">
        <is>
          <t xml:space="preserve">JLC</t>
        </is>
      </c>
      <c r="P3" s="5">
        <f>HYPERLINK("https://jlcpcb.com/partdetail/28983-CL21B104KCFNNNE/C28233","JLC")</f>
      </c>
      <c r="Q3" s="5">
        <f>HYPERLINK("https://www.lcsc.com/product-detail/multilayer-ceramic-capacitors-mlcc-smd-smt_samsung-electro-mechanics-cl21b104kcfnnne_C28233.html","LCSC")</f>
      </c>
      <c r="R3" s="5">
        <f>HYPERLINK("https://www.lcsc.com/datasheet/lcsc_datasheet_2304140030_Samsung-Electro-Mechanics-CL21B104KCFNNNE_C28233.pdf","PDF")</f>
      </c>
      <c r="S3" s="0" t="inlineStr">
        <is>
          <t xml:space="preserve">100nF</t>
        </is>
      </c>
      <c r="T3" s="4" t="inlineStr">
        <is>
          <t xml:space="preserve">100V 100nF X7R ±10% 0805 Multilayer Ceramic Capacitors MLCC - SMD/SMT ROHS</t>
        </is>
      </c>
      <c r="U3" s="11" t="inlineStr">
        <is>
          <t xml:space="preserve">on Vout (23-33 V running; TVS stand-off 54 V, clamp 87 V): 100 V rated</t>
        </is>
      </c>
    </row>
    <row r="4">
      <c r="A4" s="10">
        <v>3</v>
      </c>
      <c r="B4" s="4" t="inlineStr">
        <is>
          <t xml:space="preserve">C6 C21 C25 C31 C62 C89</t>
        </is>
      </c>
      <c r="C4" s="10">
        <v>6</v>
      </c>
      <c r="D4" s="10">
        <f>C4*2+20</f>
      </c>
      <c r="E4" s="4" t="inlineStr">
        <is>
          <t xml:space="preserve">ceramic capacitor 1uF 50 V X7R (0805)</t>
        </is>
      </c>
      <c r="F4" s="0" t="inlineStr">
        <is>
          <t xml:space="preserve">Samsung Electro-Mechanics</t>
        </is>
      </c>
      <c r="G4" s="0" t="inlineStr">
        <is>
          <t xml:space="preserve">CL21B105KBFNNNE</t>
        </is>
      </c>
      <c r="H4" s="0" t="inlineStr">
        <is>
          <t xml:space="preserve">C28323</t>
        </is>
      </c>
      <c r="I4" s="0" t="inlineStr">
        <is>
          <t xml:space="preserve">Basic</t>
        </is>
      </c>
      <c r="J4" s="3">
        <v>0.0399</v>
      </c>
      <c r="K4" s="2">
        <f>D4*J4</f>
      </c>
      <c r="L4" s="10">
        <v>2288251</v>
      </c>
      <c r="M4" s="0" t="inlineStr">
        <is>
          <t xml:space="preserve">0805</t>
        </is>
      </c>
      <c r="N4" s="0" t="inlineStr">
        <is>
          <t xml:space="preserve">bottom/top</t>
        </is>
      </c>
      <c r="O4" s="0" t="inlineStr">
        <is>
          <t xml:space="preserve">JLC</t>
        </is>
      </c>
      <c r="P4" s="5">
        <f>HYPERLINK("https://jlcpcb.com/partdetail/29074-CL21B105KBFNNNE/C28323","JLC")</f>
      </c>
      <c r="Q4" s="5">
        <f>HYPERLINK("https://www.lcsc.com/product-detail/multilayer-ceramic-capacitors-mlcc-smd-smt_samsung-electro-mechanics-cl21b105kbfnnne_C28323.html","LCSC")</f>
      </c>
      <c r="R4" s="5">
        <f>HYPERLINK("https://www.lcsc.com/datasheet/lcsc_datasheet_2304140030_Samsung-Electro-Mechanics-CL21B105KBFNNNE_C28323.pdf","PDF")</f>
      </c>
      <c r="S4" s="0" t="inlineStr">
        <is>
          <t xml:space="preserve">1uF</t>
        </is>
      </c>
      <c r="T4" s="4" t="inlineStr">
        <is>
          <t xml:space="preserve">1uF 50V X7R ±10% 0805 Multilayer Ceramic Capacitors MLCC - SMD/SMT ROHS</t>
        </is>
      </c>
      <c r="U4" s="11" t="inlineStr">
        <is>
          <t xml:space="preserve">value and package from the schematic; X7R, voltage rating at least 2x the net (rails 5/12 V, Vin 14-17 V)</t>
        </is>
      </c>
    </row>
    <row r="5">
      <c r="A5" s="10">
        <v>4</v>
      </c>
      <c r="B5" s="4" t="inlineStr">
        <is>
          <t xml:space="preserve">C7 C55</t>
        </is>
      </c>
      <c r="C5" s="10">
        <v>2</v>
      </c>
      <c r="D5" s="10">
        <f>C5*2+0</f>
      </c>
      <c r="E5" s="4" t="inlineStr">
        <is>
          <t xml:space="preserve">ceramic capacitor 22uF 25 V X7R (1210)</t>
        </is>
      </c>
      <c r="F5" s="0" t="inlineStr">
        <is>
          <t xml:space="preserve">Murata Electronics</t>
        </is>
      </c>
      <c r="G5" s="0" t="inlineStr">
        <is>
          <t xml:space="preserve">GRM32ER71E226KE15L</t>
        </is>
      </c>
      <c r="H5" s="0" t="inlineStr">
        <is>
          <t xml:space="preserve">C21397</t>
        </is>
      </c>
      <c r="I5" s="0" t="inlineStr">
        <is>
          <t xml:space="preserve">Extended</t>
        </is>
      </c>
      <c r="J5" s="3">
        <v>0.4585</v>
      </c>
      <c r="K5" s="2">
        <f>D5*J5</f>
      </c>
      <c r="L5" s="10">
        <v>75388</v>
      </c>
      <c r="M5" s="0" t="inlineStr">
        <is>
          <t xml:space="preserve">1210</t>
        </is>
      </c>
      <c r="N5" s="0" t="inlineStr">
        <is>
          <t xml:space="preserve">top</t>
        </is>
      </c>
      <c r="O5" s="0" t="inlineStr">
        <is>
          <t xml:space="preserve">JLC</t>
        </is>
      </c>
      <c r="P5" s="5">
        <f>HYPERLINK("https://jlcpcb.com/partdetail/MurataElectronics-GRM32ER71E226KE15L/C21397","JLC")</f>
      </c>
      <c r="Q5" s="5">
        <f>HYPERLINK("https://www.lcsc.com/product-detail/multilayer-ceramic-capacitors-mlcc-smd-smt_murata-electronics-grm32er71e226ke15l_C21397.html","LCSC")</f>
      </c>
      <c r="R5" s="5">
        <f>HYPERLINK("https://www.lcsc.com/datasheet/lcsc_datasheet_2308111542_Murata-Electronics-GRM32ER71E226KE15L_C21397.pdf","PDF")</f>
      </c>
      <c r="S5" s="0" t="inlineStr">
        <is>
          <t xml:space="preserve">22uF</t>
        </is>
      </c>
      <c r="T5" s="4" t="inlineStr">
        <is>
          <t xml:space="preserve">22uF 25V X7R ±10% 1210 Multilayer Ceramic Capacitors MLCC - SMD/SMT ROHS</t>
        </is>
      </c>
      <c r="U5" s="11" t="inlineStr">
        <is>
          <t xml:space="preserve"/>
        </is>
      </c>
    </row>
    <row r="6">
      <c r="A6" s="10">
        <v>5</v>
      </c>
      <c r="B6" s="4" t="inlineStr">
        <is>
          <t xml:space="preserve">C16 C18 C60</t>
        </is>
      </c>
      <c r="C6" s="10">
        <v>3</v>
      </c>
      <c r="D6" s="10">
        <f>C6*2+20</f>
      </c>
      <c r="E6" s="4" t="inlineStr">
        <is>
          <t xml:space="preserve">ceramic capacitor 2.2uF 50 V X7R (1206)</t>
        </is>
      </c>
      <c r="F6" s="0" t="inlineStr">
        <is>
          <t xml:space="preserve">Samsung Electro-Mechanics</t>
        </is>
      </c>
      <c r="G6" s="0" t="inlineStr">
        <is>
          <t xml:space="preserve">CL31B225KBHNNNE</t>
        </is>
      </c>
      <c r="H6" s="0" t="inlineStr">
        <is>
          <t xml:space="preserve">C50254</t>
        </is>
      </c>
      <c r="I6" s="0" t="inlineStr">
        <is>
          <t xml:space="preserve">Basic</t>
        </is>
      </c>
      <c r="J6" s="3">
        <v>0.0857</v>
      </c>
      <c r="K6" s="2">
        <f>D6*J6</f>
      </c>
      <c r="L6" s="10">
        <v>389063</v>
      </c>
      <c r="M6" s="0" t="inlineStr">
        <is>
          <t xml:space="preserve">1206</t>
        </is>
      </c>
      <c r="N6" s="0" t="inlineStr">
        <is>
          <t xml:space="preserve">bottom</t>
        </is>
      </c>
      <c r="O6" s="0" t="inlineStr">
        <is>
          <t xml:space="preserve">JLC</t>
        </is>
      </c>
      <c r="P6" s="5">
        <f>HYPERLINK("https://jlcpcb.com/partdetail/51263-CL31B225KBHNNNE/C50254","JLC")</f>
      </c>
      <c r="Q6" s="5">
        <f>HYPERLINK("https://www.lcsc.com/product-detail/multilayer-ceramic-capacitors-mlcc-smd-smt_samsung-electro-mechanics-cl31b225kbhnnne_C50254.html","LCSC")</f>
      </c>
      <c r="R6" s="5">
        <f>HYPERLINK("https://www.lcsc.com/datasheet/lcsc_datasheet_2304140030_Samsung-Electro-Mechanics-CL31B225KBHNNNE_C50254.pdf","PDF")</f>
      </c>
      <c r="S6" s="0" t="inlineStr">
        <is>
          <t xml:space="preserve">2.2uF</t>
        </is>
      </c>
      <c r="T6" s="4" t="inlineStr">
        <is>
          <t xml:space="preserve">2.2uF 50V X7R ±10% 1206 Multilayer Ceramic Capacitors MLCC - SMD/SMT ROHS</t>
        </is>
      </c>
      <c r="U6" s="11" t="inlineStr">
        <is>
          <t xml:space="preserve">value and package from the schematic; X7R, voltage rating at least 2x the net (rails 5/12 V, Vin 14-17 V); bootstrap caps, 12 V across</t>
        </is>
      </c>
    </row>
    <row r="7">
      <c r="A7" s="10">
        <v>6</v>
      </c>
      <c r="B7" s="4" t="inlineStr">
        <is>
          <t xml:space="preserve">C20 C33 C34 C35 C48 C50 C51 C61 C82 C83 C84 C90</t>
        </is>
      </c>
      <c r="C7" s="10">
        <v>12</v>
      </c>
      <c r="D7" s="10">
        <f>C7*2+20</f>
      </c>
      <c r="E7" s="4" t="inlineStr">
        <is>
          <t xml:space="preserve">ceramic capacitor 100nF 50 V X7R (0603)</t>
        </is>
      </c>
      <c r="F7" s="0" t="inlineStr">
        <is>
          <t xml:space="preserve">YAGEO</t>
        </is>
      </c>
      <c r="G7" s="0" t="inlineStr">
        <is>
          <t xml:space="preserve">CC0603KRX7R9BB104</t>
        </is>
      </c>
      <c r="H7" s="0" t="inlineStr">
        <is>
          <t xml:space="preserve">C14663</t>
        </is>
      </c>
      <c r="I7" s="0" t="inlineStr">
        <is>
          <t xml:space="preserve">Basic</t>
        </is>
      </c>
      <c r="J7" s="3">
        <v>0.0123</v>
      </c>
      <c r="K7" s="2">
        <f>D7*J7</f>
      </c>
      <c r="L7" s="10">
        <v>54422762</v>
      </c>
      <c r="M7" s="0" t="inlineStr">
        <is>
          <t xml:space="preserve">0603</t>
        </is>
      </c>
      <c r="N7" s="0" t="inlineStr">
        <is>
          <t xml:space="preserve">bottom/top</t>
        </is>
      </c>
      <c r="O7" s="0" t="inlineStr">
        <is>
          <t xml:space="preserve">JLC</t>
        </is>
      </c>
      <c r="P7" s="5">
        <f>HYPERLINK("https://jlcpcb.com/partdetail/YAGEO-CC0603KRX7R9BB104/C14663","JLC")</f>
      </c>
      <c r="Q7" s="5">
        <f>HYPERLINK("https://www.lcsc.com/product-detail/multilayer-ceramic-capacitors-mlcc-smd-smt_yageo-cc0603krx7r9bb104_C14663.html","LCSC")</f>
      </c>
      <c r="R7" s="5">
        <f>HYPERLINK("https://www.lcsc.com/datasheet/lcsc_datasheet_2211101700_YAGEO-CC0603KRX7R9BB104_C14663.pdf","PDF")</f>
      </c>
      <c r="S7" s="0" t="inlineStr">
        <is>
          <t xml:space="preserve">100nF</t>
        </is>
      </c>
      <c r="T7" s="4" t="inlineStr">
        <is>
          <t xml:space="preserve">100nF 50V X7R ±10% 0603 Multilayer Ceramic Capacitors MLCC - SMD/SMT ROHS</t>
        </is>
      </c>
      <c r="U7" s="11" t="inlineStr">
        <is>
          <t xml:space="preserve">value and package from the schematic; X7R, voltage rating at least 2x the net (rails 5/12 V, Vin 14-17 V); C82-C84 on Vin (&lt;= 17 V), 50 V part</t>
        </is>
      </c>
    </row>
    <row r="8">
      <c r="A8" s="10">
        <v>7</v>
      </c>
      <c r="B8" s="4" t="inlineStr">
        <is>
          <t xml:space="preserve">C30</t>
        </is>
      </c>
      <c r="C8" s="10">
        <v>1</v>
      </c>
      <c r="D8" s="10">
        <f>C8*2+0</f>
      </c>
      <c r="E8" s="4" t="inlineStr">
        <is>
          <t xml:space="preserve">47 uF 25 V tantalum capacitor (low ESR, case D)</t>
        </is>
      </c>
      <c r="F8" s="0" t="inlineStr">
        <is>
          <t xml:space="preserve">Vishay Intertech</t>
        </is>
      </c>
      <c r="G8" s="0" t="inlineStr">
        <is>
          <t xml:space="preserve">TR3D476K025C0250</t>
        </is>
      </c>
      <c r="H8" s="0" t="inlineStr">
        <is>
          <t xml:space="preserve">C4979367</t>
        </is>
      </c>
      <c r="I8" s="0" t="inlineStr">
        <is>
          <t xml:space="preserve">Extended</t>
        </is>
      </c>
      <c r="J8" s="3">
        <v>1.099</v>
      </c>
      <c r="K8" s="2">
        <f>D8*J8</f>
      </c>
      <c r="L8" s="10">
        <v>63</v>
      </c>
      <c r="M8" s="0" t="inlineStr">
        <is>
          <t xml:space="preserve">EIA-7343 (D)</t>
        </is>
      </c>
      <c r="N8" s="0" t="inlineStr">
        <is>
          <t xml:space="preserve">top</t>
        </is>
      </c>
      <c r="O8" s="0" t="inlineStr">
        <is>
          <t xml:space="preserve">JLC</t>
        </is>
      </c>
      <c r="P8" s="5">
        <f>HYPERLINK("https://jlcpcb.com/partdetail/VishayIntertech-TR3D476K025C0250/C4979367","JLC")</f>
      </c>
      <c r="Q8" s="5">
        <f>HYPERLINK("https://www.lcsc.com/product-detail/tantalum-capacitors_vishay-intertech-tr3d476k025c0250_C4979367.html","LCSC")</f>
      </c>
      <c r="R8" s="5">
        <f>HYPERLINK("https://wmsc.lcsc.com/wmsc/upload/file/pdf/v2/lcsc/2312131210_Vishay-Intertech-TR3D476K025C0250_C4979367.pdf","PDF")</f>
      </c>
      <c r="S8" s="0" t="inlineStr">
        <is>
          <t xml:space="preserve">47uF tantalum</t>
        </is>
      </c>
      <c r="T8" s="4" t="inlineStr">
        <is>
          <t xml:space="preserve">-55℃~+125℃ 250mΩ 25V 47uF ±10% CASE-D-7343-34(mm) Tantalum Capacitors ROHS</t>
        </is>
      </c>
      <c r="U8" s="11" t="inlineStr">
        <is>
          <t xml:space="preserve">U16 (12 V regulator) output, ESR 250 mOhm</t>
        </is>
      </c>
    </row>
    <row r="9">
      <c r="A9" s="10">
        <v>8</v>
      </c>
      <c r="B9" s="4" t="inlineStr">
        <is>
          <t xml:space="preserve">C39 C56 C79 C80 C81</t>
        </is>
      </c>
      <c r="C9" s="10">
        <v>5</v>
      </c>
      <c r="D9" s="10">
        <f>C9*2+0</f>
      </c>
      <c r="E9" s="4" t="inlineStr">
        <is>
          <t xml:space="preserve">ceramic capacitor 10uF 50 V X7R (1210)</t>
        </is>
      </c>
      <c r="F9" s="0" t="inlineStr">
        <is>
          <t xml:space="preserve">Samsung Electro-Mechanics</t>
        </is>
      </c>
      <c r="G9" s="0" t="inlineStr">
        <is>
          <t xml:space="preserve">CL32B106KBJNNNE</t>
        </is>
      </c>
      <c r="H9" s="0" t="inlineStr">
        <is>
          <t xml:space="preserve">C138687</t>
        </is>
      </c>
      <c r="I9" s="0" t="inlineStr">
        <is>
          <t xml:space="preserve">Extended</t>
        </is>
      </c>
      <c r="J9" s="3">
        <v>0.3252</v>
      </c>
      <c r="K9" s="2">
        <f>D9*J9</f>
      </c>
      <c r="L9" s="10">
        <v>32750</v>
      </c>
      <c r="M9" s="0" t="inlineStr">
        <is>
          <t xml:space="preserve">1210</t>
        </is>
      </c>
      <c r="N9" s="0" t="inlineStr">
        <is>
          <t xml:space="preserve">top</t>
        </is>
      </c>
      <c r="O9" s="0" t="inlineStr">
        <is>
          <t xml:space="preserve">JLC</t>
        </is>
      </c>
      <c r="P9" s="5">
        <f>HYPERLINK("https://jlcpcb.com/partdetail/150006-CL32B106KBJNNNE/C138687","JLC")</f>
      </c>
      <c r="Q9" s="5">
        <f>HYPERLINK("https://lcsc.com/product-detail/Multilayer-Ceramic-Capacitors-MLCC-SMD-SMT_Samsung-Electro-Mechanics-CL32B106KBJNNNE_C138687.html","LCSC")</f>
      </c>
      <c r="R9" s="5">
        <f>HYPERLINK("https://datasheet.lcsc.com/lcsc/1912112237_Samsung-Electro-Mechanics-CL32B106KBJNNNE_C138687.pdf","PDF")</f>
      </c>
      <c r="S9" s="0" t="inlineStr">
        <is>
          <t xml:space="preserve">10uF</t>
        </is>
      </c>
      <c r="T9" s="4" t="inlineStr">
        <is>
          <t xml:space="preserve">10uF 50V X7R ±10% 1210 Multilayer Ceramic Capacitors MLCC - SMD/SMT ROHS</t>
        </is>
      </c>
      <c r="U9" s="11" t="inlineStr">
        <is>
          <t xml:space="preserve">value and package from the schematic; X7R, voltage rating at least 2x the net (rails 5/12 V, Vin 14-17 V); C79-C81 on Vin: 50 V X7R</t>
        </is>
      </c>
    </row>
    <row r="10">
      <c r="A10" s="10">
        <v>9</v>
      </c>
      <c r="B10" s="4" t="inlineStr">
        <is>
          <t xml:space="preserve">C40 C69 C85</t>
        </is>
      </c>
      <c r="C10" s="10">
        <v>3</v>
      </c>
      <c r="D10" s="10">
        <f>C10*2+0</f>
      </c>
      <c r="E10" s="4" t="inlineStr">
        <is>
          <t xml:space="preserve">680 uF 25 V hybrid polymer electrolytic capacitor</t>
        </is>
      </c>
      <c r="F10" s="0" t="inlineStr">
        <is>
          <t xml:space="preserve">PANASONIC</t>
        </is>
      </c>
      <c r="G10" s="0" t="inlineStr">
        <is>
          <t xml:space="preserve">EEH-ZU1E681UP</t>
        </is>
      </c>
      <c r="H10" s="0" t="inlineStr">
        <is>
          <t xml:space="preserve">C29664285</t>
        </is>
      </c>
      <c r="I10" s="0" t="inlineStr">
        <is>
          <t xml:space="preserve">Extended</t>
        </is>
      </c>
      <c r="J10" s="3">
        <v>2.5409</v>
      </c>
      <c r="K10" s="2">
        <f>D10*J10</f>
      </c>
      <c r="L10" s="10">
        <v>10</v>
      </c>
      <c r="M10" s="0" t="inlineStr">
        <is>
          <t xml:space="preserve">CP_Elec_10x12.5</t>
        </is>
      </c>
      <c r="N10" s="0" t="inlineStr">
        <is>
          <t xml:space="preserve">top</t>
        </is>
      </c>
      <c r="O10" s="0" t="inlineStr">
        <is>
          <t xml:space="preserve">JLC</t>
        </is>
      </c>
      <c r="P10" s="5">
        <f>HYPERLINK("https://jlcpcb.com/partdetail/PANASONIC-EEHZU1E681UP/C29664285","JLC")</f>
      </c>
      <c r="Q10" s="0"/>
      <c r="R10" s="0"/>
      <c r="S10" s="0" t="inlineStr">
        <is>
          <t xml:space="preserve">680uF EEH-ZU1E681UP</t>
        </is>
      </c>
      <c r="T10" s="4" t="inlineStr">
        <is>
          <t xml:space="preserve">-55℃~+135℃ 10mm 10mΩ@100kHz 12.5mm 25V 3700mA@100kHz 4000hrs@135℃ 680uF Polarized SMD ±20% SMD,D10x12.8mm Hybrid Aluminum Electrolytic Capacitors ROHS</t>
        </is>
      </c>
      <c r="U10" s="11" t="inlineStr">
        <is>
          <t xml:space="preserve">STOCK 10: enough for 3 boards (3 each)</t>
        </is>
      </c>
    </row>
    <row r="11">
      <c r="A11" s="10">
        <v>10</v>
      </c>
      <c r="B11" s="4" t="inlineStr">
        <is>
          <t xml:space="preserve">C41 C44 C45</t>
        </is>
      </c>
      <c r="C11" s="10">
        <v>3</v>
      </c>
      <c r="D11" s="10">
        <f>C11*2+20</f>
      </c>
      <c r="E11" s="4" t="inlineStr">
        <is>
          <t xml:space="preserve">ceramic capacitor 1nF 50 V X7R (0603)</t>
        </is>
      </c>
      <c r="F11" s="0" t="inlineStr">
        <is>
          <t xml:space="preserve">Samsung Electro-Mechanics</t>
        </is>
      </c>
      <c r="G11" s="0" t="inlineStr">
        <is>
          <t xml:space="preserve">CL10B102KB8NNNC</t>
        </is>
      </c>
      <c r="H11" s="0" t="inlineStr">
        <is>
          <t xml:space="preserve">C1588</t>
        </is>
      </c>
      <c r="I11" s="0" t="inlineStr">
        <is>
          <t xml:space="preserve">Basic</t>
        </is>
      </c>
      <c r="J11" s="3">
        <v>0.0089</v>
      </c>
      <c r="K11" s="2">
        <f>D11*J11</f>
      </c>
      <c r="L11" s="10">
        <v>7811866</v>
      </c>
      <c r="M11" s="0" t="inlineStr">
        <is>
          <t xml:space="preserve">0603</t>
        </is>
      </c>
      <c r="N11" s="0" t="inlineStr">
        <is>
          <t xml:space="preserve">top</t>
        </is>
      </c>
      <c r="O11" s="0" t="inlineStr">
        <is>
          <t xml:space="preserve">JLC</t>
        </is>
      </c>
      <c r="P11" s="5">
        <f>HYPERLINK("https://jlcpcb.com/partdetail/1940-CL10B102KB8NNNC/C1588","JLC")</f>
      </c>
      <c r="Q11" s="5">
        <f>HYPERLINK("https://www.lcsc.com/product-detail/multilayer-ceramic-capacitors-mlcc-smd-smt_samsung-electro-mechanics-cl10b102kb8nnnc_C1588.html","LCSC")</f>
      </c>
      <c r="R11" s="5">
        <f>HYPERLINK("https://www.lcsc.com/datasheet/lcsc_datasheet_2304140030_Samsung-Electro-Mechanics-CL10B102KB8NNNC_C1588.pdf","PDF")</f>
      </c>
      <c r="S11" s="0" t="inlineStr">
        <is>
          <t xml:space="preserve">1nF</t>
        </is>
      </c>
      <c r="T11" s="4" t="inlineStr">
        <is>
          <t xml:space="preserve">1nF 50V X7R ±10% 0603 Multilayer Ceramic Capacitors MLCC - SMD/SMT ROHS</t>
        </is>
      </c>
      <c r="U11" s="11" t="inlineStr">
        <is>
          <t xml:space="preserve">value and package from the schematic; X7R, voltage rating at least 2x the net (rails 5/12 V, Vin 14-17 V); IREF wiper filter Alternates: C163508 (C0G)</t>
        </is>
      </c>
    </row>
    <row r="12">
      <c r="A12" s="10">
        <v>11</v>
      </c>
      <c r="B12" s="4" t="inlineStr">
        <is>
          <t xml:space="preserve">C74 C86 C87</t>
        </is>
      </c>
      <c r="C12" s="10">
        <v>3</v>
      </c>
      <c r="D12" s="10">
        <f>C12*2+0</f>
      </c>
      <c r="E12" s="4" t="inlineStr">
        <is>
          <t xml:space="preserve">220 uF 50 V hybrid polymer electrolytic capacitor (Panasonic ZU)</t>
        </is>
      </c>
      <c r="F12" s="0" t="inlineStr">
        <is>
          <t xml:space="preserve">PANASONIC</t>
        </is>
      </c>
      <c r="G12" s="0" t="inlineStr">
        <is>
          <t xml:space="preserve">EEH-ZU1H221P</t>
        </is>
      </c>
      <c r="H12" s="0" t="inlineStr">
        <is>
          <t xml:space="preserve">C6843593</t>
        </is>
      </c>
      <c r="I12" s="0" t="inlineStr">
        <is>
          <t xml:space="preserve">Extended</t>
        </is>
      </c>
      <c r="J12" s="3">
        <v>2.8352</v>
      </c>
      <c r="K12" s="2">
        <f>D12*J12</f>
      </c>
      <c r="L12" s="10">
        <v>14</v>
      </c>
      <c r="M12" s="0" t="inlineStr">
        <is>
          <t xml:space="preserve">CP_Elec_10x16.5</t>
        </is>
      </c>
      <c r="N12" s="0" t="inlineStr">
        <is>
          <t xml:space="preserve">top</t>
        </is>
      </c>
      <c r="O12" s="0" t="inlineStr">
        <is>
          <t xml:space="preserve">JLC</t>
        </is>
      </c>
      <c r="P12" s="5">
        <f>HYPERLINK("https://jlcpcb.com/partdetail/PANASONIC-EEHZU1H221P/C6843593","JLC")</f>
      </c>
      <c r="Q12" s="5">
        <f>HYPERLINK("https://www.lcsc.com/product-detail/hybrid-aluminum-electrolytic-capacitors_panasonic-eeh-zu1h221p_C6843593.html","LCSC")</f>
      </c>
      <c r="R12" s="0"/>
      <c r="S12" s="0" t="inlineStr">
        <is>
          <t xml:space="preserve">220uF EEH-ZU1H221P</t>
        </is>
      </c>
      <c r="T12" s="4" t="inlineStr">
        <is>
          <t xml:space="preserve">-55℃~+135℃ 10mm 10mΩ 16.8mm 220uF 4000hrs@135℃ 50V 780mA@100Hz Polarized SMD ±20% SMD,D10xL16.8mm Hybrid Aluminum Electrolytic Capacitors ROHS</t>
        </is>
      </c>
      <c r="U12" s="11" t="inlineStr">
        <is>
          <t xml:space="preserve">the three most loaded output caps (up to 3.46 A); the other six are EEH-ZS1H221P</t>
        </is>
      </c>
    </row>
    <row r="13">
      <c r="A13" s="10">
        <v>12</v>
      </c>
      <c r="B13" s="4" t="inlineStr">
        <is>
          <t xml:space="preserve">C70 C71 C75 C77 C78 C88</t>
        </is>
      </c>
      <c r="C13" s="10">
        <v>6</v>
      </c>
      <c r="D13" s="10">
        <f>C13*2+0</f>
      </c>
      <c r="E13" s="4" t="inlineStr">
        <is>
          <t xml:space="preserve">220 uF 50 V hybrid polymer electrolytic capacitor (Panasonic ZS)</t>
        </is>
      </c>
      <c r="F13" s="0" t="inlineStr">
        <is>
          <t xml:space="preserve">PANASONIC</t>
        </is>
      </c>
      <c r="G13" s="0" t="inlineStr">
        <is>
          <t xml:space="preserve">EEHZS1H221P</t>
        </is>
      </c>
      <c r="H13" s="0" t="inlineStr">
        <is>
          <t xml:space="preserve">C385885</t>
        </is>
      </c>
      <c r="I13" s="0" t="inlineStr">
        <is>
          <t xml:space="preserve">Extended</t>
        </is>
      </c>
      <c r="J13" s="3">
        <v>1.6338</v>
      </c>
      <c r="K13" s="2">
        <f>D13*J13</f>
      </c>
      <c r="L13" s="10">
        <v>1263</v>
      </c>
      <c r="M13" s="0" t="inlineStr">
        <is>
          <t xml:space="preserve">CP_Elec_10x16.5</t>
        </is>
      </c>
      <c r="N13" s="0" t="inlineStr">
        <is>
          <t xml:space="preserve">top</t>
        </is>
      </c>
      <c r="O13" s="0" t="inlineStr">
        <is>
          <t xml:space="preserve">JLC</t>
        </is>
      </c>
      <c r="P13" s="5">
        <f>HYPERLINK("https://jlcpcb.com/partdetail/PANASONIC-EEHZS1H221P/C385885","JLC")</f>
      </c>
      <c r="Q13" s="5">
        <f>HYPERLINK("https://www.lcsc.com/product-detail/hybrid-aluminum-electrolytic-capacitors_panasonic-eehzs1h221p_C385885.html","LCSC")</f>
      </c>
      <c r="R13" s="5">
        <f>HYPERLINK("https://wmsc.lcsc.com/wmsc/upload/file/pdf/v2/lcsc/1912111437_PANASONIC-EEHZS1H221P_C385885.pdf","PDF")</f>
      </c>
      <c r="S13" s="0" t="inlineStr">
        <is>
          <t xml:space="preserve">220uF EEH-ZS1H221P</t>
        </is>
      </c>
      <c r="T13" s="4" t="inlineStr">
        <is>
          <t xml:space="preserve">-55℃~+135℃ 10mm 13mΩ 16.5mm 220uF 4000hrs@135℃ 50V 555mA@100Hz Polarized SMD ±20% SMD,D10xL16.5mm Hybrid Aluminum Electrolytic Capacitors ROHS</t>
        </is>
      </c>
      <c r="U13" s="11" t="inlineStr">
        <is>
          <t xml:space="preserve">same Panasonic hybrid family, size and footprint; 13 mOhm, 3.7 A (ZU: 10 mOhm, 5.2 A). These positions carry 1.90-2.37 A, 51-64 % of the ZS rating; cheaper than the ZU Alternates: C6843593 EEH-ZU1H221P</t>
        </is>
      </c>
    </row>
    <row r="14">
      <c r="A14" s="10">
        <v>13</v>
      </c>
      <c r="B14" s="4" t="inlineStr">
        <is>
          <t xml:space="preserve">D2 D8 D11 D13 D14 D22</t>
        </is>
      </c>
      <c r="C14" s="10">
        <v>6</v>
      </c>
      <c r="D14" s="10">
        <f>C14*2+20</f>
      </c>
      <c r="E14" s="4" t="inlineStr">
        <is>
          <t xml:space="preserve">Schottky diode 40 V 1 A</t>
        </is>
      </c>
      <c r="F14" s="0" t="inlineStr">
        <is>
          <t xml:space="preserve">Jiangsu Changjing Electronics Technology Co., Ltd.</t>
        </is>
      </c>
      <c r="G14" s="0" t="inlineStr">
        <is>
          <t xml:space="preserve">B5819W SL</t>
        </is>
      </c>
      <c r="H14" s="0" t="inlineStr">
        <is>
          <t xml:space="preserve">C8598</t>
        </is>
      </c>
      <c r="I14" s="0" t="inlineStr">
        <is>
          <t xml:space="preserve">Basic</t>
        </is>
      </c>
      <c r="J14" s="3">
        <v>0.028</v>
      </c>
      <c r="K14" s="2">
        <f>D14*J14</f>
      </c>
      <c r="L14" s="10">
        <v>512334</v>
      </c>
      <c r="M14" s="0" t="inlineStr">
        <is>
          <t xml:space="preserve">SOD-123</t>
        </is>
      </c>
      <c r="N14" s="0" t="inlineStr">
        <is>
          <t xml:space="preserve">bottom</t>
        </is>
      </c>
      <c r="O14" s="0" t="inlineStr">
        <is>
          <t xml:space="preserve">JLC</t>
        </is>
      </c>
      <c r="P14" s="5">
        <f>HYPERLINK("https://jlcpcb.com/partdetail/9093-B5819WSL/C8598","JLC")</f>
      </c>
      <c r="Q14" s="5">
        <f>HYPERLINK("https://www.lcsc.com/product-detail/schottky-diodes_jiangsu-changjing-electronics-technology-co-ltd-b5819w-sl_C8598.html","LCSC")</f>
      </c>
      <c r="R14" s="5">
        <f>HYPERLINK("https://www.lcsc.com/datasheet/lcsc_datasheet_2304140030_Jiangsu-Changjing-Electronics-Technology-Co---Ltd--B5819W-SL_C8598.pdf","PDF")</f>
      </c>
      <c r="S14" s="0" t="inlineStr">
        <is>
          <t xml:space="preserve">B5819W (gate turn-off)</t>
        </is>
      </c>
      <c r="T14" s="4" t="inlineStr">
        <is>
          <t xml:space="preserve">1A 40V 600mV@1A 9A Independent SOD-123 Schottky Diodes ROHS</t>
        </is>
      </c>
      <c r="U14" s="11" t="inlineStr">
        <is>
          <t xml:space="preserve">no diode type in the schematic (LTspice default diode). Anode on the FET gate, cathode to the driver side of the gate resistor: the turn-off path. BOM part: B5819W (40 V 1 A Schottky, Basic) Alternates: C81598 1N4148W</t>
        </is>
      </c>
    </row>
    <row r="15">
      <c r="A15" s="10">
        <v>14</v>
      </c>
      <c r="B15" s="4" t="inlineStr">
        <is>
          <t xml:space="preserve">D9 D10 D21</t>
        </is>
      </c>
      <c r="C15" s="10">
        <v>3</v>
      </c>
      <c r="D15" s="10">
        <f>C15*2+20</f>
      </c>
      <c r="E15" s="4" t="inlineStr">
        <is>
          <t xml:space="preserve">switching diode 200 V 0.2 A</t>
        </is>
      </c>
      <c r="F15" s="0" t="inlineStr">
        <is>
          <t xml:space="preserve">Jiangsu Changjing Electronics Technology Co., Ltd.</t>
        </is>
      </c>
      <c r="G15" s="0" t="inlineStr">
        <is>
          <t xml:space="preserve">BAV21W</t>
        </is>
      </c>
      <c r="H15" s="0" t="inlineStr">
        <is>
          <t xml:space="preserve">C21565</t>
        </is>
      </c>
      <c r="I15" s="0" t="inlineStr">
        <is>
          <t xml:space="preserve">Extended</t>
        </is>
      </c>
      <c r="J15" s="3">
        <v>0.0191</v>
      </c>
      <c r="K15" s="2">
        <f>D15*J15</f>
      </c>
      <c r="L15" s="10">
        <v>87375</v>
      </c>
      <c r="M15" s="0" t="inlineStr">
        <is>
          <t xml:space="preserve">SOD-123</t>
        </is>
      </c>
      <c r="N15" s="0" t="inlineStr">
        <is>
          <t xml:space="preserve">bottom</t>
        </is>
      </c>
      <c r="O15" s="0" t="inlineStr">
        <is>
          <t xml:space="preserve">JLC</t>
        </is>
      </c>
      <c r="P15" s="5">
        <f>HYPERLINK("https://jlcpcb.com/partdetail/22286-BAV21W/C21565","JLC")</f>
      </c>
      <c r="Q15" s="5">
        <f>HYPERLINK("https://www.lcsc.com/product-detail/switching-diodes_jiangsu-changjing-electronics-technology-co-ltd-bav21w_C21565.html","LCSC")</f>
      </c>
      <c r="R15" s="5">
        <f>HYPERLINK("https://www.lcsc.com/datasheet/lcsc_datasheet_1811011112_Jiangsu-Changjing-Electronics-Technology-Co---Ltd--BAV21W_C21565.pdf","PDF")</f>
      </c>
      <c r="S15" s="0" t="inlineStr">
        <is>
          <t xml:space="preserve">BAV21W (bootstrap)</t>
        </is>
      </c>
      <c r="T15" s="4" t="inlineStr">
        <is>
          <t xml:space="preserve">1.25V@200mA 1.7A 100nA@200V 200V 200mA 500mW 50ns Independent SOD-123 Switching Diodes ROHS</t>
        </is>
      </c>
      <c r="U15" s="11" t="inlineStr">
        <is>
          <t xml:space="preserve">no diode type in the schematic. 12 V to the high-side VDDA: blocks the rail FET source voltage (up to Vout, 54-87 V under a clamp event). BOM part: BAV21W (200 V, trr 50 ns) Alternates: C81598 1N4148W (75 V: too low)</t>
        </is>
      </c>
    </row>
    <row r="16">
      <c r="A16" s="10">
        <v>15</v>
      </c>
      <c r="B16" s="4" t="inlineStr">
        <is>
          <t xml:space="preserve">D28 D29 D30</t>
        </is>
      </c>
      <c r="C16" s="10">
        <v>3</v>
      </c>
      <c r="D16" s="10">
        <f>C16*2+20</f>
      </c>
      <c r="E16" s="4" t="inlineStr">
        <is>
          <t xml:space="preserve">rectifier diode 1000 V 2 A</t>
        </is>
      </c>
      <c r="F16" s="0" t="inlineStr">
        <is>
          <t xml:space="preserve">Shandong Jingdao Microelectronics</t>
        </is>
      </c>
      <c r="G16" s="0" t="inlineStr">
        <is>
          <t xml:space="preserve">S2MW</t>
        </is>
      </c>
      <c r="H16" s="0" t="inlineStr">
        <is>
          <t xml:space="preserve">C128729</t>
        </is>
      </c>
      <c r="I16" s="0" t="inlineStr">
        <is>
          <t xml:space="preserve">Extended</t>
        </is>
      </c>
      <c r="J16" s="3">
        <v>0.0183</v>
      </c>
      <c r="K16" s="2">
        <f>D16*J16</f>
      </c>
      <c r="L16" s="10">
        <v>14395</v>
      </c>
      <c r="M16" s="0" t="inlineStr">
        <is>
          <t xml:space="preserve">SOD-123F</t>
        </is>
      </c>
      <c r="N16" s="0" t="inlineStr">
        <is>
          <t xml:space="preserve">bottom</t>
        </is>
      </c>
      <c r="O16" s="0" t="inlineStr">
        <is>
          <t xml:space="preserve">JLC</t>
        </is>
      </c>
      <c r="P16" s="5">
        <f>HYPERLINK("https://jlcpcb.com/partdetail/140015-S2MW/C128729","JLC")</f>
      </c>
      <c r="Q16" s="5">
        <f>HYPERLINK("https://www.lcsc.com/product-detail/diodes-general-purpose_shandong-jingdao-microelectronics-s2mw_C128729.html","LCSC")</f>
      </c>
      <c r="R16" s="5">
        <f>HYPERLINK("https://www.lcsc.com/datasheet/lcsc_datasheet_1810121033_Shandong-Jingdao-Microelectronics-S2MW_C128729.pdf","PDF")</f>
      </c>
      <c r="S16" s="0" t="inlineStr">
        <is>
          <t xml:space="preserve">S2MW (pre-charge)</t>
        </is>
      </c>
      <c r="T16" s="4" t="inlineStr">
        <is>
          <t xml:space="preserve">-55℃~+150℃ 1.1V@2A 1kV 2A 50A 5uA@1000V Independent SOD-123F Diodes - General Purpose ROHS</t>
        </is>
      </c>
      <c r="U16" s="11" t="inlineStr">
        <is>
          <t xml:space="preserve">pre-charge diodes Vin -&gt; Vout_1/2/3: 1000 V 2 A, IFSM 50 A; surge headroom 2.5x at an ideal battery (simulated) Alternates: C2900725 Foshan Blue Rocket S2MW</t>
        </is>
      </c>
    </row>
    <row r="17">
      <c r="A17" s="10">
        <v>16</v>
      </c>
      <c r="B17" s="4" t="inlineStr">
        <is>
          <t xml:space="preserve">D19</t>
        </is>
      </c>
      <c r="C17" s="10">
        <v>1</v>
      </c>
      <c r="D17" s="10">
        <f>C17*2+0</f>
      </c>
      <c r="E17" s="4" t="inlineStr">
        <is>
          <t xml:space="preserve">TVS diode 54 V stand-off, 5 kW</t>
        </is>
      </c>
      <c r="F17" s="0" t="inlineStr">
        <is>
          <t xml:space="preserve">hongjiacheng</t>
        </is>
      </c>
      <c r="G17" s="0" t="inlineStr">
        <is>
          <t xml:space="preserve">5.0SMDJ54A</t>
        </is>
      </c>
      <c r="H17" s="0" t="inlineStr">
        <is>
          <t xml:space="preserve">C42394451</t>
        </is>
      </c>
      <c r="I17" s="0" t="inlineStr">
        <is>
          <t xml:space="preserve">Extended</t>
        </is>
      </c>
      <c r="J17" s="3">
        <v>0.3951</v>
      </c>
      <c r="K17" s="2">
        <f>D17*J17</f>
      </c>
      <c r="L17" s="10">
        <v>9825</v>
      </c>
      <c r="M17" s="0" t="inlineStr">
        <is>
          <t xml:space="preserve">D_SMC</t>
        </is>
      </c>
      <c r="N17" s="0" t="inlineStr">
        <is>
          <t xml:space="preserve">bottom</t>
        </is>
      </c>
      <c r="O17" s="0" t="inlineStr">
        <is>
          <t xml:space="preserve">JLC</t>
        </is>
      </c>
      <c r="P17" s="5">
        <f>HYPERLINK("https://jlcpcb.com/partdetail/hongjiacheng-50SMDJ54A/C42394451","JLC")</f>
      </c>
      <c r="Q17" s="0"/>
      <c r="R17" s="0"/>
      <c r="S17" s="0" t="inlineStr">
        <is>
          <t xml:space="preserve">TVS 5.0SMDJ54A</t>
        </is>
      </c>
      <c r="T17" s="4" t="inlineStr">
        <is>
          <t xml:space="preserve">DO-214AB(SMC) ESD and Surge Protection (TVS/ESD) ROHS</t>
        </is>
      </c>
      <c r="U17" s="11" t="inlineStr">
        <is>
          <t xml:space="preserve">Littelfuse has 1 in stock; R+O alternate. Its listing gives the ratings but links no datasheet Alternates: C20415356 Littelfuse (stock 1); C5279851 SETsafe (published specs)</t>
        </is>
      </c>
    </row>
    <row r="18">
      <c r="A18" s="10">
        <v>17</v>
      </c>
      <c r="B18" s="4" t="inlineStr">
        <is>
          <t xml:space="preserve">J10</t>
        </is>
      </c>
      <c r="C18" s="10">
        <v>1</v>
      </c>
      <c r="D18" s="10">
        <f>C18*2</f>
      </c>
      <c r="E18" s="4" t="inlineStr">
        <is>
          <t xml:space="preserve">2x15 socket strip, 2.54 mm, elevated (Samtec)</t>
        </is>
      </c>
      <c r="F18" s="0" t="inlineStr">
        <is>
          <t xml:space="preserve">Samtec</t>
        </is>
      </c>
      <c r="G18" s="0" t="inlineStr">
        <is>
          <t xml:space="preserve">ESQ-115-44-G-D</t>
        </is>
      </c>
      <c r="H18" s="0"/>
      <c r="I18" s="0"/>
      <c r="J18" s="3">
        <v>9.13</v>
      </c>
      <c r="K18" s="2">
        <f>D18*J18</f>
      </c>
      <c r="L18" s="0"/>
      <c r="M18" s="0" t="inlineStr">
        <is>
          <t xml:space="preserve">PinSocket 2x15</t>
        </is>
      </c>
      <c r="N18" s="0" t="inlineStr">
        <is>
          <t xml:space="preserve">top</t>
        </is>
      </c>
      <c r="O18" s="0" t="inlineStr">
        <is>
          <t xml:space="preserve">by hand</t>
        </is>
      </c>
      <c r="P18" s="5">
        <f>HYPERLINK("https://www.samtec.com/products/esq-115-44-g-d","Maker")</f>
      </c>
      <c r="Q18" s="0"/>
      <c r="R18" s="0"/>
      <c r="S18" s="0" t="inlineStr">
        <is>
          <t xml:space="preserve">ESQ-115-44-G-D</t>
        </is>
      </c>
      <c r="T18" s="0"/>
      <c r="U18" s="11" t="inlineStr">
        <is>
          <t xml:space="preserve">Mouser price as listed on samtec.com; bought separately, fitted by hand. The part named in the schematic; not stocked at LCSC (only the -LL variant is listed, 0 in stock, $23.28); buy from Samtec / Digi-Key / Mouser Alternates: C5689183 ESQ-115-44-G-D-LL (stock 0)</t>
        </is>
      </c>
    </row>
    <row r="19">
      <c r="A19" s="10">
        <v>18</v>
      </c>
      <c r="B19" s="4" t="inlineStr">
        <is>
          <t xml:space="preserve">L1</t>
        </is>
      </c>
      <c r="C19" s="10">
        <v>1</v>
      </c>
      <c r="D19" s="10">
        <f>C19*2</f>
      </c>
      <c r="E19" s="4" t="inlineStr">
        <is>
          <t xml:space="preserve">6.8 uH power inductor, 32 x 22.5 mm</t>
        </is>
      </c>
      <c r="F19" s="0" t="inlineStr">
        <is>
          <t xml:space="preserve">Codaca</t>
        </is>
      </c>
      <c r="G19" s="0" t="inlineStr">
        <is>
          <t xml:space="preserve">CSCF3218-6R8MC</t>
        </is>
      </c>
      <c r="H19" s="0"/>
      <c r="I19" s="0"/>
      <c r="J19" s="0"/>
      <c r="K19" s="0"/>
      <c r="L19" s="0"/>
      <c r="M19" s="0" t="inlineStr">
        <is>
          <t xml:space="preserve">32 x 22.5 mm SMD</t>
        </is>
      </c>
      <c r="N19" s="0" t="inlineStr">
        <is>
          <t xml:space="preserve">top</t>
        </is>
      </c>
      <c r="O19" s="0" t="inlineStr">
        <is>
          <t xml:space="preserve">by hand</t>
        </is>
      </c>
      <c r="P19" s="0"/>
      <c r="Q19" s="0"/>
      <c r="R19" s="0"/>
      <c r="S19" s="0" t="inlineStr">
        <is>
          <t xml:space="preserve">CSCF3218-6R8MC</t>
        </is>
      </c>
      <c r="T19" s="0"/>
      <c r="U19" s="11" t="inlineStr">
        <is>
          <t xml:space="preserve">already owned; not priced. The part named in the schematic Alternates: C5629897 (stock 0)</t>
        </is>
      </c>
    </row>
    <row r="20">
      <c r="A20" s="10">
        <v>19</v>
      </c>
      <c r="B20" s="4" t="inlineStr">
        <is>
          <t xml:space="preserve">M1 M2 M3 M4 M5 M6 M7 M8 M9 M10</t>
        </is>
      </c>
      <c r="C20" s="10">
        <v>10</v>
      </c>
      <c r="D20" s="10">
        <f>C20*2</f>
      </c>
      <c r="E20" s="4" t="inlineStr">
        <is>
          <t xml:space="preserve">100 V N-channel MOSFET (TO-220)</t>
        </is>
      </c>
      <c r="F20" s="0" t="inlineStr">
        <is>
          <t xml:space="preserve">HUAYI (HYG)</t>
        </is>
      </c>
      <c r="G20" s="0" t="inlineStr">
        <is>
          <t xml:space="preserve">HYG180N10LS1P</t>
        </is>
      </c>
      <c r="H20" s="0"/>
      <c r="I20" s="0"/>
      <c r="J20" s="0"/>
      <c r="K20" s="0"/>
      <c r="L20" s="0"/>
      <c r="M20" s="0" t="inlineStr">
        <is>
          <t xml:space="preserve">TO-220</t>
        </is>
      </c>
      <c r="N20" s="0" t="inlineStr">
        <is>
          <t xml:space="preserve">bottom</t>
        </is>
      </c>
      <c r="O20" s="0" t="inlineStr">
        <is>
          <t xml:space="preserve">by hand</t>
        </is>
      </c>
      <c r="P20" s="0"/>
      <c r="Q20" s="0"/>
      <c r="R20" s="0"/>
      <c r="S20" s="0" t="inlineStr">
        <is>
          <t xml:space="preserve">HYG180N10</t>
        </is>
      </c>
      <c r="T20" s="0"/>
      <c r="U20" s="11" t="inlineStr">
        <is>
          <t xml:space="preserve">already owned (ten); not priced. The part named in the schematic Alternates: C2841917 HYG180N10LS1P</t>
        </is>
      </c>
    </row>
    <row r="21">
      <c r="A21" s="10">
        <v>20</v>
      </c>
      <c r="B21" s="4" t="inlineStr">
        <is>
          <t xml:space="preserve">R1</t>
        </is>
      </c>
      <c r="C21" s="10">
        <v>1</v>
      </c>
      <c r="D21" s="10">
        <f>C21*2+0</f>
      </c>
      <c r="E21" s="4" t="inlineStr">
        <is>
          <t xml:space="preserve">current-sense resistor 1 mOhm 4 W, 4-terminal</t>
        </is>
      </c>
      <c r="F21" s="0" t="inlineStr">
        <is>
          <t xml:space="preserve">BOURNS</t>
        </is>
      </c>
      <c r="G21" s="0" t="inlineStr">
        <is>
          <t xml:space="preserve">CSS4J-4026R-1L00F</t>
        </is>
      </c>
      <c r="H21" s="0" t="inlineStr">
        <is>
          <t xml:space="preserve">C2076400</t>
        </is>
      </c>
      <c r="I21" s="0" t="inlineStr">
        <is>
          <t xml:space="preserve">Extended</t>
        </is>
      </c>
      <c r="J21" s="3">
        <v>1.7086</v>
      </c>
      <c r="K21" s="2">
        <f>D21*J21</f>
      </c>
      <c r="L21" s="10">
        <v>385</v>
      </c>
      <c r="M21" s="0" t="inlineStr">
        <is>
          <t xml:space="preserve">4026 4-terminal</t>
        </is>
      </c>
      <c r="N21" s="0" t="inlineStr">
        <is>
          <t xml:space="preserve">top</t>
        </is>
      </c>
      <c r="O21" s="0" t="inlineStr">
        <is>
          <t xml:space="preserve">JLC</t>
        </is>
      </c>
      <c r="P21" s="5">
        <f>HYPERLINK("https://jlcpcb.com/partdetail/BOURNS-CSS4J_4026R1L00F/C2076400","JLC")</f>
      </c>
      <c r="Q21" s="5">
        <f>HYPERLINK("https://www.lcsc.com/product-detail/current-sense-resistors-shunt-resistors_bourns-css4j-4026r-1l00f_C2076400.html","LCSC")</f>
      </c>
      <c r="R21" s="5">
        <f>HYPERLINK("https://wmsc.lcsc.com/wmsc/upload/file/pdf/v2/lcsc/2304140030_BOURNS-CSS4J-4026R-1L00F_C2076400.pdf","PDF")</f>
      </c>
      <c r="S21" s="0" t="inlineStr">
        <is>
          <t xml:space="preserve">1m CSS4J-4026R-1L00F</t>
        </is>
      </c>
      <c r="T21" s="4" t="inlineStr">
        <is>
          <t xml:space="preserve">1mΩ 4W Current Sense Resistor ±1% ±75ppm/℃ 4026 Current Sense Resistors / Shunt Resistors ROHS</t>
        </is>
      </c>
      <c r="U21" s="11" t="inlineStr">
        <is>
          <t xml:space="preserve">1 mOhm with U25 = INA241A4 (100 V/V): Current is 0.1 V/A. Same Bourns land pattern (series drawing), H 2.70 max against 2.93 Alternates: C2076167 CSS4J-4026K-2L00F 2 mOhm (0 stock)</t>
        </is>
      </c>
    </row>
    <row r="22">
      <c r="A22" s="10">
        <v>21</v>
      </c>
      <c r="B22" s="4" t="inlineStr">
        <is>
          <t xml:space="preserve">R7 R52 R53</t>
        </is>
      </c>
      <c r="C22" s="10">
        <v>3</v>
      </c>
      <c r="D22" s="10">
        <f>C22*2+0</f>
      </c>
      <c r="E22" s="4" t="inlineStr">
        <is>
          <t xml:space="preserve">current-sense resistor 50 mOhm 1 W, metal strip</t>
        </is>
      </c>
      <c r="F22" s="0" t="inlineStr">
        <is>
          <t xml:space="preserve">Vishay Intertech</t>
        </is>
      </c>
      <c r="G22" s="0" t="inlineStr">
        <is>
          <t xml:space="preserve">WSL2512R0500FEA</t>
        </is>
      </c>
      <c r="H22" s="0" t="inlineStr">
        <is>
          <t xml:space="preserve">C413486</t>
        </is>
      </c>
      <c r="I22" s="0" t="inlineStr">
        <is>
          <t xml:space="preserve">Extended</t>
        </is>
      </c>
      <c r="J22" s="3">
        <v>0.2348</v>
      </c>
      <c r="K22" s="2">
        <f>D22*J22</f>
      </c>
      <c r="L22" s="10">
        <v>41066</v>
      </c>
      <c r="M22" s="0" t="inlineStr">
        <is>
          <t xml:space="preserve">2512</t>
        </is>
      </c>
      <c r="N22" s="0" t="inlineStr">
        <is>
          <t xml:space="preserve">top</t>
        </is>
      </c>
      <c r="O22" s="0" t="inlineStr">
        <is>
          <t xml:space="preserve">JLC</t>
        </is>
      </c>
      <c r="P22" s="5">
        <f>HYPERLINK("https://jlcpcb.com/partdetail/VishayIntertech-WSL2512R0500FEA/C413486","JLC")</f>
      </c>
      <c r="Q22" s="5">
        <f>HYPERLINK("https://www.lcsc.com/product-detail/chip-resistor-surface-mount_vishay-intertech-wsl2512r0500fea_C413486.html","LCSC")</f>
      </c>
      <c r="R22" s="5">
        <f>HYPERLINK("https://wmsc.lcsc.com/wmsc/upload/file/pdf/v2/lcsc/1912111437_Vishay-Intertech-WSL2512R0500FEA_C413486.pdf","PDF")</f>
      </c>
      <c r="S22" s="0" t="inlineStr">
        <is>
          <t xml:space="preserve">50 mOhm WSL2512</t>
        </is>
      </c>
      <c r="T22" s="4" t="inlineStr">
        <is>
          <t xml:space="preserve">-65℃~+170℃ 1W 50mΩ ±1% ±75ppm/℃ 2512 Chip Resistor - Surface Mount ROHS</t>
        </is>
      </c>
      <c r="U22" s="11" t="inlineStr">
        <is>
          <t xml:space="preserve">LED current sinks: 2.63 A, 0.35 W each. The value sets the LED current, so the TCR matters: WSL2512 metal strip +/-75 ppm/C ($0.23) against thick film +/-800 ppm/C ($0.04) Alternates: C127698 thick film +/-800 ppm/C</t>
        </is>
      </c>
    </row>
    <row r="23">
      <c r="A23" s="10">
        <v>22</v>
      </c>
      <c r="B23" s="4" t="inlineStr">
        <is>
          <t xml:space="preserve">R13 R23 R47</t>
        </is>
      </c>
      <c r="C23" s="10">
        <v>3</v>
      </c>
      <c r="D23" s="10">
        <f>C23*2+20</f>
      </c>
      <c r="E23" s="4" t="inlineStr">
        <is>
          <t xml:space="preserve">resistor 220 ohm 1 % (0603)</t>
        </is>
      </c>
      <c r="F23" s="0" t="inlineStr">
        <is>
          <t xml:space="preserve">UNI-ROYAL(Uniroyal Elec)</t>
        </is>
      </c>
      <c r="G23" s="0" t="inlineStr">
        <is>
          <t xml:space="preserve">0603WAF2200T5E</t>
        </is>
      </c>
      <c r="H23" s="0" t="inlineStr">
        <is>
          <t xml:space="preserve">C22962</t>
        </is>
      </c>
      <c r="I23" s="0" t="inlineStr">
        <is>
          <t xml:space="preserve">Basic</t>
        </is>
      </c>
      <c r="J23" s="3">
        <v>0.0035</v>
      </c>
      <c r="K23" s="2">
        <f>D23*J23</f>
      </c>
      <c r="L23" s="10">
        <v>1903983</v>
      </c>
      <c r="M23" s="0" t="inlineStr">
        <is>
          <t xml:space="preserve">0603</t>
        </is>
      </c>
      <c r="N23" s="0" t="inlineStr">
        <is>
          <t xml:space="preserve">bottom/top</t>
        </is>
      </c>
      <c r="O23" s="0" t="inlineStr">
        <is>
          <t xml:space="preserve">JLC</t>
        </is>
      </c>
      <c r="P23" s="5">
        <f>HYPERLINK("https://jlcpcb.com/partdetail/23689-0603WAF2200T5E/C22962","JLC")</f>
      </c>
      <c r="Q23" s="5">
        <f>HYPERLINK("https://www.lcsc.com/product-detail/chip-resistor-surface-mount_uni-royal-uniroyal-elec-0603waf2200t5e_C22962.html","LCSC")</f>
      </c>
      <c r="R23" s="5">
        <f>HYPERLINK("https://www.lcsc.com/datasheet/lcsc_datasheet_2206010130_UNI-ROYAL-Uniroyal-Elec-0603WAF2200T5E_C22962.pdf","PDF")</f>
      </c>
      <c r="S23" s="0" t="inlineStr">
        <is>
          <t xml:space="preserve">220</t>
        </is>
      </c>
      <c r="T23" s="4" t="inlineStr">
        <is>
          <t xml:space="preserve">-55℃~+155℃ 100mW 220Ω 75V Thick Film Resistor ±1% ±100ppm/℃ 0603 Chip Resistor - Surface Mount ROHS</t>
        </is>
      </c>
      <c r="U23" s="11" t="inlineStr">
        <is>
          <t xml:space="preserve">value and package from the schematic; 1% thick film, JLC Basic where one exists</t>
        </is>
      </c>
    </row>
    <row r="24">
      <c r="A24" s="10">
        <v>23</v>
      </c>
      <c r="B24" s="4" t="inlineStr">
        <is>
          <t xml:space="preserve">R15</t>
        </is>
      </c>
      <c r="C24" s="10">
        <v>1</v>
      </c>
      <c r="D24" s="10">
        <f>C24*2+20</f>
      </c>
      <c r="E24" s="4" t="inlineStr">
        <is>
          <t xml:space="preserve">resistor 10 ohm 1 % (0805)</t>
        </is>
      </c>
      <c r="F24" s="0" t="inlineStr">
        <is>
          <t xml:space="preserve">UNI-ROYAL(Uniroyal Elec)</t>
        </is>
      </c>
      <c r="G24" s="0" t="inlineStr">
        <is>
          <t xml:space="preserve">0805W8F100JT5E</t>
        </is>
      </c>
      <c r="H24" s="0" t="inlineStr">
        <is>
          <t xml:space="preserve">C17415</t>
        </is>
      </c>
      <c r="I24" s="0" t="inlineStr">
        <is>
          <t xml:space="preserve">Basic</t>
        </is>
      </c>
      <c r="J24" s="3">
        <v>0.004</v>
      </c>
      <c r="K24" s="2">
        <f>D24*J24</f>
      </c>
      <c r="L24" s="10">
        <v>6880485</v>
      </c>
      <c r="M24" s="0" t="inlineStr">
        <is>
          <t xml:space="preserve">0805</t>
        </is>
      </c>
      <c r="N24" s="0" t="inlineStr">
        <is>
          <t xml:space="preserve">bottom</t>
        </is>
      </c>
      <c r="O24" s="0" t="inlineStr">
        <is>
          <t xml:space="preserve">JLC</t>
        </is>
      </c>
      <c r="P24" s="5">
        <f>HYPERLINK("https://jlcpcb.com/partdetail/18103-0805W8F100JT5E/C17415","JLC")</f>
      </c>
      <c r="Q24" s="5">
        <f>HYPERLINK("https://www.lcsc.com/product-detail/chip-resistor-surface-mount_uni-royal-uniroyal-elec-0805w8f100jt5e_C17415.html","LCSC")</f>
      </c>
      <c r="R24" s="5">
        <f>HYPERLINK("https://www.lcsc.com/datasheet/lcsc_datasheet_2206010216_UNI-ROYAL-Uniroyal-Elec-0805W8F100JT5E_C17415.pdf","PDF")</f>
      </c>
      <c r="S24" s="0" t="inlineStr">
        <is>
          <t xml:space="preserve">10</t>
        </is>
      </c>
      <c r="T24" s="4" t="inlineStr">
        <is>
          <t xml:space="preserve">-55℃~+155℃ 10Ω 125mW 150V Thick Film Resistor ±1% ±200ppm/℃ 0805 Chip Resistor - Surface Mount ROHS</t>
        </is>
      </c>
      <c r="U24" s="11" t="inlineStr">
        <is>
          <t xml:space="preserve">value and package from the schematic; 1% thick film, JLC Basic where one exists</t>
        </is>
      </c>
    </row>
    <row r="25">
      <c r="A25" s="10">
        <v>24</v>
      </c>
      <c r="B25" s="4" t="inlineStr">
        <is>
          <t xml:space="preserve">R21 R48 R60 R72</t>
        </is>
      </c>
      <c r="C25" s="10">
        <v>4</v>
      </c>
      <c r="D25" s="10">
        <f>C25*2+20</f>
      </c>
      <c r="E25" s="4" t="inlineStr">
        <is>
          <t xml:space="preserve">resistor 5.1 ohm 1 % (0805)</t>
        </is>
      </c>
      <c r="F25" s="0" t="inlineStr">
        <is>
          <t xml:space="preserve">UNI-ROYAL(Uniroyal Elec)</t>
        </is>
      </c>
      <c r="G25" s="0" t="inlineStr">
        <is>
          <t xml:space="preserve">0805W8F510KT5E</t>
        </is>
      </c>
      <c r="H25" s="0" t="inlineStr">
        <is>
          <t xml:space="preserve">C17724</t>
        </is>
      </c>
      <c r="I25" s="0" t="inlineStr">
        <is>
          <t xml:space="preserve">Basic</t>
        </is>
      </c>
      <c r="J25" s="3">
        <v>0.0041</v>
      </c>
      <c r="K25" s="2">
        <f>D25*J25</f>
      </c>
      <c r="L25" s="10">
        <v>418343</v>
      </c>
      <c r="M25" s="0" t="inlineStr">
        <is>
          <t xml:space="preserve">0805</t>
        </is>
      </c>
      <c r="N25" s="0" t="inlineStr">
        <is>
          <t xml:space="preserve">bottom</t>
        </is>
      </c>
      <c r="O25" s="0" t="inlineStr">
        <is>
          <t xml:space="preserve">JLC</t>
        </is>
      </c>
      <c r="P25" s="5">
        <f>HYPERLINK("https://jlcpcb.com/partdetail/18412-0805W8F510KT5E/C17724","JLC")</f>
      </c>
      <c r="Q25" s="5">
        <f>HYPERLINK("https://www.lcsc.com/product-detail/chip-resistor-surface-mount_uni-royal-uniroyal-elec-0805w8f510kt5e_C17724.html","LCSC")</f>
      </c>
      <c r="R25" s="5">
        <f>HYPERLINK("https://www.lcsc.com/datasheet/lcsc_datasheet_2206010200_UNI-ROYAL-Uniroyal-Elec-0805W8F510KT5E_C17724.pdf","PDF")</f>
      </c>
      <c r="S25" s="0" t="inlineStr">
        <is>
          <t xml:space="preserve">5.1</t>
        </is>
      </c>
      <c r="T25" s="4" t="inlineStr">
        <is>
          <t xml:space="preserve">-55℃~+155℃ 125mW 150V 5.1Ω Thick Film Resistor ±1% ±200ppm/℃ 0805 Chip Resistor - Surface Mount ROHS</t>
        </is>
      </c>
      <c r="U25" s="11" t="inlineStr">
        <is>
          <t xml:space="preserve">5.1 Ohm (5.0 Ohm 0805 is not stocked), the value R59/R70 also use Alternates: C25273 4.99 Ohm</t>
        </is>
      </c>
    </row>
    <row r="26">
      <c r="A26" s="10">
        <v>25</v>
      </c>
      <c r="B26" s="4" t="inlineStr">
        <is>
          <t xml:space="preserve">R22 R50 R56</t>
        </is>
      </c>
      <c r="C26" s="10">
        <v>3</v>
      </c>
      <c r="D26" s="10">
        <f>C26*2+20</f>
      </c>
      <c r="E26" s="4" t="inlineStr">
        <is>
          <t xml:space="preserve">resistor 100 ohm 1 % (0603)</t>
        </is>
      </c>
      <c r="F26" s="0" t="inlineStr">
        <is>
          <t xml:space="preserve">UNI-ROYAL(Uniroyal Elec)</t>
        </is>
      </c>
      <c r="G26" s="0" t="inlineStr">
        <is>
          <t xml:space="preserve">0603WAF1000T5E</t>
        </is>
      </c>
      <c r="H26" s="0" t="inlineStr">
        <is>
          <t xml:space="preserve">C22775</t>
        </is>
      </c>
      <c r="I26" s="0" t="inlineStr">
        <is>
          <t xml:space="preserve">Basic</t>
        </is>
      </c>
      <c r="J26" s="3">
        <v>0.0031</v>
      </c>
      <c r="K26" s="2">
        <f>D26*J26</f>
      </c>
      <c r="L26" s="10">
        <v>11576722</v>
      </c>
      <c r="M26" s="0" t="inlineStr">
        <is>
          <t xml:space="preserve">0603</t>
        </is>
      </c>
      <c r="N26" s="0" t="inlineStr">
        <is>
          <t xml:space="preserve">top</t>
        </is>
      </c>
      <c r="O26" s="0" t="inlineStr">
        <is>
          <t xml:space="preserve">JLC</t>
        </is>
      </c>
      <c r="P26" s="5">
        <f>HYPERLINK("https://jlcpcb.com/partdetail/23502-0603WAF1000T5E/C22775","JLC")</f>
      </c>
      <c r="Q26" s="5">
        <f>HYPERLINK("https://www.lcsc.com/product-detail/chip-resistor-surface-mount_uni-royal-uniroyal-elec-0603waf1000t5e_C22775.html","LCSC")</f>
      </c>
      <c r="R26" s="5">
        <f>HYPERLINK("https://www.lcsc.com/datasheet/lcsc_datasheet_2411221126_UNI-ROYAL-Uniroyal-Elec-0603WAF1000T5E_C22775.pdf","PDF")</f>
      </c>
      <c r="S26" s="0" t="inlineStr">
        <is>
          <t xml:space="preserve">100</t>
        </is>
      </c>
      <c r="T26" s="4" t="inlineStr">
        <is>
          <t xml:space="preserve">-55℃~+155℃ 100mW 100Ω 75V Thick Film Resistor ±1% ±100ppm/℃ 0603 Chip Resistor - Surface Mount ROHS</t>
        </is>
      </c>
      <c r="U26" s="11" t="inlineStr">
        <is>
          <t xml:space="preserve">value and package from the schematic; 1% thick film, JLC Basic where one exists</t>
        </is>
      </c>
    </row>
    <row r="27">
      <c r="A27" s="10">
        <v>26</v>
      </c>
      <c r="B27" s="4" t="inlineStr">
        <is>
          <t xml:space="preserve">R49 R61 R62 R73 R74 R75 R76 R104</t>
        </is>
      </c>
      <c r="C27" s="10">
        <v>8</v>
      </c>
      <c r="D27" s="10">
        <f>C27*2+20</f>
      </c>
      <c r="E27" s="4" t="inlineStr">
        <is>
          <t xml:space="preserve">resistor 10k ohm 1 % (0603)</t>
        </is>
      </c>
      <c r="F27" s="0" t="inlineStr">
        <is>
          <t xml:space="preserve">UNI-ROYAL(Uniroyal Elec)</t>
        </is>
      </c>
      <c r="G27" s="0" t="inlineStr">
        <is>
          <t xml:space="preserve">0603WAF1002T5E</t>
        </is>
      </c>
      <c r="H27" s="0" t="inlineStr">
        <is>
          <t xml:space="preserve">C25804</t>
        </is>
      </c>
      <c r="I27" s="0" t="inlineStr">
        <is>
          <t xml:space="preserve">Basic</t>
        </is>
      </c>
      <c r="J27" s="3">
        <v>0.0018</v>
      </c>
      <c r="K27" s="2">
        <f>D27*J27</f>
      </c>
      <c r="L27" s="10">
        <v>23109251</v>
      </c>
      <c r="M27" s="0" t="inlineStr">
        <is>
          <t xml:space="preserve">0603</t>
        </is>
      </c>
      <c r="N27" s="0" t="inlineStr">
        <is>
          <t xml:space="preserve">bottom/top</t>
        </is>
      </c>
      <c r="O27" s="0" t="inlineStr">
        <is>
          <t xml:space="preserve">JLC</t>
        </is>
      </c>
      <c r="P27" s="5">
        <f>HYPERLINK("https://jlcpcb.com/partdetail/26547-0603WAF1002T5E/C25804","JLC")</f>
      </c>
      <c r="Q27" s="5">
        <f>HYPERLINK("https://www.lcsc.com/product-detail/chip-resistor-surface-mount_uni-royal-uniroyal-elec-0603waf1002t5e_C25804.html","LCSC")</f>
      </c>
      <c r="R27" s="5">
        <f>HYPERLINK("https://www.lcsc.com/datasheet/lcsc_datasheet_2206010045_UNI-ROYAL-Uniroyal-Elec-0603WAF1002T5E_C25804.pdf","PDF")</f>
      </c>
      <c r="S27" s="0" t="inlineStr">
        <is>
          <t xml:space="preserve">10k</t>
        </is>
      </c>
      <c r="T27" s="4" t="inlineStr">
        <is>
          <t xml:space="preserve">-55℃~+155℃ 100mW 10kΩ 75V Thick Film Resistor ±1% ±100ppm/℃ 0603 Chip Resistor - Surface Mount ROHS</t>
        </is>
      </c>
      <c r="U27" s="11" t="inlineStr">
        <is>
          <t xml:space="preserve">value and package from the schematic; 1% thick film, JLC Basic where one exists</t>
        </is>
      </c>
    </row>
    <row r="28">
      <c r="A28" s="10">
        <v>27</v>
      </c>
      <c r="B28" s="4" t="inlineStr">
        <is>
          <t xml:space="preserve">R59 R70</t>
        </is>
      </c>
      <c r="C28" s="10">
        <v>2</v>
      </c>
      <c r="D28" s="10">
        <f>C28*2+0</f>
      </c>
      <c r="E28" s="4" t="inlineStr">
        <is>
          <t xml:space="preserve">resistor 5.1 ohm 1 % (0805)</t>
        </is>
      </c>
      <c r="F28" s="0" t="inlineStr">
        <is>
          <t xml:space="preserve">UNI-ROYAL(Uniroyal Elec)</t>
        </is>
      </c>
      <c r="G28" s="0" t="inlineStr">
        <is>
          <t xml:space="preserve">0805W8F510KT5E</t>
        </is>
      </c>
      <c r="H28" s="0" t="inlineStr">
        <is>
          <t xml:space="preserve">C17724</t>
        </is>
      </c>
      <c r="I28" s="0" t="inlineStr">
        <is>
          <t xml:space="preserve">Basic</t>
        </is>
      </c>
      <c r="J28" s="3">
        <v>0.0041</v>
      </c>
      <c r="K28" s="2">
        <f>D28*J28</f>
      </c>
      <c r="L28" s="10">
        <v>418343</v>
      </c>
      <c r="M28" s="0" t="inlineStr">
        <is>
          <t xml:space="preserve">0805</t>
        </is>
      </c>
      <c r="N28" s="0" t="inlineStr">
        <is>
          <t xml:space="preserve">bottom/top</t>
        </is>
      </c>
      <c r="O28" s="0" t="inlineStr">
        <is>
          <t xml:space="preserve">JLC</t>
        </is>
      </c>
      <c r="P28" s="5">
        <f>HYPERLINK("https://jlcpcb.com/partdetail/18412-0805W8F510KT5E/C17724","JLC")</f>
      </c>
      <c r="Q28" s="5">
        <f>HYPERLINK("https://www.lcsc.com/product-detail/chip-resistor-surface-mount_uni-royal-uniroyal-elec-0805w8f510kt5e_C17724.html","LCSC")</f>
      </c>
      <c r="R28" s="5">
        <f>HYPERLINK("https://www.lcsc.com/datasheet/lcsc_datasheet_2206010200_UNI-ROYAL-Uniroyal-Elec-0805W8F510KT5E_C17724.pdf","PDF")</f>
      </c>
      <c r="S28" s="0" t="inlineStr">
        <is>
          <t xml:space="preserve">5.1</t>
        </is>
      </c>
      <c r="T28" s="4" t="inlineStr">
        <is>
          <t xml:space="preserve">-55℃~+155℃ 125mW 150V 5.1Ω Thick Film Resistor ±1% ±200ppm/℃ 0805 Chip Resistor - Surface Mount ROHS</t>
        </is>
      </c>
      <c r="U28" s="11" t="inlineStr">
        <is>
          <t xml:space="preserve">value and package from the schematic; 1% thick film, JLC Basic where one exists</t>
        </is>
      </c>
    </row>
    <row r="29">
      <c r="A29" s="10">
        <v>28</v>
      </c>
      <c r="B29" s="4" t="inlineStr">
        <is>
          <t xml:space="preserve">U1 U17</t>
        </is>
      </c>
      <c r="C29" s="10">
        <v>2</v>
      </c>
      <c r="D29" s="10">
        <f>C29*2+0</f>
      </c>
      <c r="E29" s="4" t="inlineStr">
        <is>
          <t xml:space="preserve">linear regulator 5 V 100 mA</t>
        </is>
      </c>
      <c r="F29" s="0" t="inlineStr">
        <is>
          <t xml:space="preserve">STMicroelectronics</t>
        </is>
      </c>
      <c r="G29" s="0" t="inlineStr">
        <is>
          <t xml:space="preserve">L78L05ACUTR</t>
        </is>
      </c>
      <c r="H29" s="0" t="inlineStr">
        <is>
          <t xml:space="preserve">C43116</t>
        </is>
      </c>
      <c r="I29" s="0" t="inlineStr">
        <is>
          <t xml:space="preserve">Extended</t>
        </is>
      </c>
      <c r="J29" s="3">
        <v>0.102</v>
      </c>
      <c r="K29" s="2">
        <f>D29*J29</f>
      </c>
      <c r="L29" s="10">
        <v>21384</v>
      </c>
      <c r="M29" s="0" t="inlineStr">
        <is>
          <t xml:space="preserve">SOT-89</t>
        </is>
      </c>
      <c r="N29" s="0" t="inlineStr">
        <is>
          <t xml:space="preserve">top</t>
        </is>
      </c>
      <c r="O29" s="0" t="inlineStr">
        <is>
          <t xml:space="preserve">JLC</t>
        </is>
      </c>
      <c r="P29" s="5">
        <f>HYPERLINK("https://jlcpcb.com/partdetail/STMicroelectronics-L78L05ACUTR/C43116","JLC")</f>
      </c>
      <c r="Q29" s="5">
        <f>HYPERLINK("https://www.lcsc.com/product-detail/voltage-regulators-linear-low-drop-out-ldo-regulators_stmicroelectronics-l78l05acutr_C43116.html","LCSC")</f>
      </c>
      <c r="R29" s="5">
        <f>HYPERLINK("https://www.lcsc.com/datasheet/lcsc_datasheet_1809200029_STMicroelectronics-L78L05ACUTR_C43116.pdf","PDF")</f>
      </c>
      <c r="S29" s="0" t="inlineStr">
        <is>
          <t xml:space="preserve">L78L05</t>
        </is>
      </c>
      <c r="T29" s="4" t="inlineStr">
        <is>
          <t xml:space="preserve">0℃~+125℃@(Tj) 1 1.7V 100mA 20V 40uV 49dB@(120Hz) 5V 6mA Fixed Over Current Protection、Over Temperature Protection、Short Circuit Protection Positive SOT-89-3 Voltage Regulators - Linear, Low Drop Out (LDO) Regulators ROHS</t>
        </is>
      </c>
      <c r="U29" s="11" t="inlineStr">
        <is>
          <t xml:space="preserve">the part named in the schematic; ST L78L05ACUTR (pinout OUT-GND-IN as the symbol)</t>
        </is>
      </c>
    </row>
    <row r="30">
      <c r="A30" s="10">
        <v>29</v>
      </c>
      <c r="B30" s="4" t="inlineStr">
        <is>
          <t xml:space="preserve">U6 U11 U12</t>
        </is>
      </c>
      <c r="C30" s="10">
        <v>3</v>
      </c>
      <c r="D30" s="10">
        <f>C30*2+20</f>
      </c>
      <c r="E30" s="4" t="inlineStr">
        <is>
          <t xml:space="preserve">op-amp, rail-to-rail, 1 MHz</t>
        </is>
      </c>
      <c r="F30" s="0" t="inlineStr">
        <is>
          <t xml:space="preserve">Texas Instruments</t>
        </is>
      </c>
      <c r="G30" s="0" t="inlineStr">
        <is>
          <t xml:space="preserve">TLV9001IDBVR</t>
        </is>
      </c>
      <c r="H30" s="0" t="inlineStr">
        <is>
          <t xml:space="preserve">C398363</t>
        </is>
      </c>
      <c r="I30" s="0" t="inlineStr">
        <is>
          <t xml:space="preserve">Extended</t>
        </is>
      </c>
      <c r="J30" s="3">
        <v>0.0979</v>
      </c>
      <c r="K30" s="2">
        <f>D30*J30</f>
      </c>
      <c r="L30" s="10">
        <v>48438</v>
      </c>
      <c r="M30" s="0" t="inlineStr">
        <is>
          <t xml:space="preserve">SOT-23-5</t>
        </is>
      </c>
      <c r="N30" s="0" t="inlineStr">
        <is>
          <t xml:space="preserve">top</t>
        </is>
      </c>
      <c r="O30" s="0" t="inlineStr">
        <is>
          <t xml:space="preserve">JLC</t>
        </is>
      </c>
      <c r="P30" s="5">
        <f>HYPERLINK("https://jlcpcb.com/partdetail/TexasInstruments-TLV9001IDBVR/C398363","JLC")</f>
      </c>
      <c r="Q30" s="5">
        <f>HYPERLINK("https://www.lcsc.com/product-detail/operational-amplifier_texas-instruments-tlv9001idbvr_C398363.html","LCSC")</f>
      </c>
      <c r="R30" s="5">
        <f>HYPERLINK("https://www.lcsc.com/datasheet/lcsc_datasheet_2410010130_Texas-Instruments-TLV9001IDBVR_C398363.pdf","PDF")</f>
      </c>
      <c r="S30" s="0" t="inlineStr">
        <is>
          <t xml:space="preserve">TLV9001</t>
        </is>
      </c>
      <c r="T30" s="4" t="inlineStr">
        <is>
          <t xml:space="preserve">-2.75V~-900mV、900mV~2.75V -40℃~+125℃ 1 1.6mV 1.8V~5.5V 1MHz 2V/us 2pA 4.7nV/√Hz@1kHz 40mA 5pA 600nV/℃ 60uA 86dB Enable/shutdown function、EMI filtering/RF suppression Rail-to-Rail Input, Rail-to-Rail Output SOT-23-5 Operational Amplifier ROHS</t>
        </is>
      </c>
      <c r="U30" s="11" t="inlineStr">
        <is>
          <t xml:space="preserve">TI TLV9001IDBVR (the DBV part: pins 1 OUT, 2 V-, 3 IN+, 4 IN-, 5 V+, NOT the TLV9001U). 1 MHz, 2 V/us, 1.6 mV max offset. Alternates: C49889 MCP6241T-E/OT</t>
        </is>
      </c>
    </row>
    <row r="31">
      <c r="A31" s="10">
        <v>30</v>
      </c>
      <c r="B31" s="4" t="inlineStr">
        <is>
          <t xml:space="preserve">U8 U10 U15 U19</t>
        </is>
      </c>
      <c r="C31" s="10">
        <v>4</v>
      </c>
      <c r="D31" s="10">
        <f>C31*2+0</f>
      </c>
      <c r="E31" s="4" t="inlineStr">
        <is>
          <t xml:space="preserve">isolated dual gate driver</t>
        </is>
      </c>
      <c r="F31" s="0" t="inlineStr">
        <is>
          <t xml:space="preserve">Texas Instruments</t>
        </is>
      </c>
      <c r="G31" s="0" t="inlineStr">
        <is>
          <t xml:space="preserve">UCC21520DWR</t>
        </is>
      </c>
      <c r="H31" s="0" t="inlineStr">
        <is>
          <t xml:space="preserve">C601651</t>
        </is>
      </c>
      <c r="I31" s="0" t="inlineStr">
        <is>
          <t xml:space="preserve">Extended</t>
        </is>
      </c>
      <c r="J31" s="3">
        <v>0.8893</v>
      </c>
      <c r="K31" s="2">
        <f>D31*J31</f>
      </c>
      <c r="L31" s="10">
        <v>17156</v>
      </c>
      <c r="M31" s="0" t="inlineStr">
        <is>
          <t xml:space="preserve">SOIC-16W</t>
        </is>
      </c>
      <c r="N31" s="0" t="inlineStr">
        <is>
          <t xml:space="preserve">bottom</t>
        </is>
      </c>
      <c r="O31" s="0" t="inlineStr">
        <is>
          <t xml:space="preserve">JLC</t>
        </is>
      </c>
      <c r="P31" s="5">
        <f>HYPERLINK("https://jlcpcb.com/partdetail/TexasInstruments-UCC21520DWR/C601651","JLC")</f>
      </c>
      <c r="Q31" s="5">
        <f>HYPERLINK("https://www.lcsc.com/product-detail/isolators-gate-drivers_texas-instruments-ucc21520dwr_C601651.html","LCSC")</f>
      </c>
      <c r="R31" s="5">
        <f>HYPERLINK("https://www.lcsc.com/datasheet/lcsc_datasheet_2006102223_Texas-Instruments-UCC21520DWR_C601651.pdf","PDF")</f>
      </c>
      <c r="S31" s="0" t="inlineStr">
        <is>
          <t xml:space="preserve">UCC21520DW</t>
        </is>
      </c>
      <c r="T31" s="4" t="inlineStr">
        <is>
          <t xml:space="preserve">-40℃~+150℃@(Tj) 0.8V~1.2V 1.2V~2V 125kV/us 2 3V~18V 45ns 45ns 4A 5700 6A 9.2V~25V MOSFET、IGBT SOIC-16-300mil Isolators - Gate Drivers ROHS</t>
        </is>
      </c>
      <c r="U31" s="11" t="inlineStr">
        <is>
          <t xml:space="preserve">the part named in the schematic</t>
        </is>
      </c>
    </row>
    <row r="32">
      <c r="A32" s="10">
        <v>31</v>
      </c>
      <c r="B32" s="4" t="inlineStr">
        <is>
          <t xml:space="preserve">U16</t>
        </is>
      </c>
      <c r="C32" s="10">
        <v>1</v>
      </c>
      <c r="D32" s="10">
        <f>C32*2+0</f>
      </c>
      <c r="E32" s="4" t="inlineStr">
        <is>
          <t xml:space="preserve">linear regulator 12 V 1 A (7812)</t>
        </is>
      </c>
      <c r="F32" s="0" t="inlineStr">
        <is>
          <t xml:space="preserve">onsemi</t>
        </is>
      </c>
      <c r="G32" s="0" t="inlineStr">
        <is>
          <t xml:space="preserve">MC7812BD2TR4G</t>
        </is>
      </c>
      <c r="H32" s="0" t="inlineStr">
        <is>
          <t xml:space="preserve">C231294</t>
        </is>
      </c>
      <c r="I32" s="0" t="inlineStr">
        <is>
          <t xml:space="preserve">Extended</t>
        </is>
      </c>
      <c r="J32" s="3">
        <v>0.5316</v>
      </c>
      <c r="K32" s="2">
        <f>D32*J32</f>
      </c>
      <c r="L32" s="10">
        <v>2024</v>
      </c>
      <c r="M32" s="0" t="inlineStr">
        <is>
          <t xml:space="preserve">TO-263-3</t>
        </is>
      </c>
      <c r="N32" s="0" t="inlineStr">
        <is>
          <t xml:space="preserve">top</t>
        </is>
      </c>
      <c r="O32" s="0" t="inlineStr">
        <is>
          <t xml:space="preserve">JLC</t>
        </is>
      </c>
      <c r="P32" s="5">
        <f>HYPERLINK("https://jlcpcb.com/partdetail/onsemi-MC7812BD2TR4G/C231294","JLC")</f>
      </c>
      <c r="Q32" s="5">
        <f>HYPERLINK("https://www.lcsc.com/product-detail/voltage-regulators-linear-low-drop-out-ldo-regulators_onsemi-mc7812bd2tr4g_C231294.html","LCSC")</f>
      </c>
      <c r="R32" s="5">
        <f>HYPERLINK("https://www.lcsc.com/datasheet/lcsc_datasheet_2210210200_onsemi-MC7812BD2TR4G_C231294.pdf","PDF")</f>
      </c>
      <c r="S32" s="0" t="inlineStr">
        <is>
          <t xml:space="preserve">MC7812</t>
        </is>
      </c>
      <c r="T32" s="4" t="inlineStr">
        <is>
          <t xml:space="preserve">-40℃~+125℃@(Tj) 1 12V 1A 27V 2V@(1.0A) 3.4mA 60dB@(120Hz) Fixed Over Temperature Protection、Short Circuit Protection Positive TO-263-2 Voltage Regulators - Linear, Low Drop Out (LDO) Regulators ROHS</t>
        </is>
      </c>
      <c r="U32" s="11" t="inlineStr">
        <is>
          <t xml:space="preserve">onsemi MC7812BD2TR4G. Its D2PAK (case 936) fits the TO-263-3 footprint: pins 1 IN and 3 OUT at 2.54 mm pitch, tab = pin 2 GND, the centre lead is cut (pad 2 stays empty, it is GND). 35 V in, -40 to +125 C. About 1.5 V dropout, so at the end of a 4S discharge the LEDs fade from about 12.7 V open-circuit (simulated) Alternates: C38744 MC7812CD2TR4G (0 to +125 C); C2877347 LM2940S-12/NOPB</t>
        </is>
      </c>
    </row>
    <row r="33">
      <c r="A33" s="10">
        <v>32</v>
      </c>
      <c r="B33" s="4" t="inlineStr">
        <is>
          <t xml:space="preserve">U25</t>
        </is>
      </c>
      <c r="C33" s="10">
        <v>1</v>
      </c>
      <c r="D33" s="10">
        <f>C33*2+0</f>
      </c>
      <c r="E33" s="4" t="inlineStr">
        <is>
          <t xml:space="preserve">current-sense amplifier, gain 100</t>
        </is>
      </c>
      <c r="F33" s="0" t="inlineStr">
        <is>
          <t xml:space="preserve">Texas Instruments</t>
        </is>
      </c>
      <c r="G33" s="0" t="inlineStr">
        <is>
          <t xml:space="preserve">INA241A4IDR</t>
        </is>
      </c>
      <c r="H33" s="0" t="inlineStr">
        <is>
          <t xml:space="preserve">C22427873</t>
        </is>
      </c>
      <c r="I33" s="0" t="inlineStr">
        <is>
          <t xml:space="preserve">Extended</t>
        </is>
      </c>
      <c r="J33" s="3">
        <v>3.5277</v>
      </c>
      <c r="K33" s="2">
        <f>D33*J33</f>
      </c>
      <c r="L33" s="10">
        <v>116</v>
      </c>
      <c r="M33" s="0" t="inlineStr">
        <is>
          <t xml:space="preserve">SOIC-8</t>
        </is>
      </c>
      <c r="N33" s="0" t="inlineStr">
        <is>
          <t xml:space="preserve">top</t>
        </is>
      </c>
      <c r="O33" s="0" t="inlineStr">
        <is>
          <t xml:space="preserve">JLC</t>
        </is>
      </c>
      <c r="P33" s="5">
        <f>HYPERLINK("https://jlcpcb.com/partdetail/TexasInstruments-INA241A4IDR/C22427873","JLC")</f>
      </c>
      <c r="Q33" s="0"/>
      <c r="R33" s="0"/>
      <c r="S33" s="0" t="inlineStr">
        <is>
          <t xml:space="preserve">INA241A4</t>
        </is>
      </c>
      <c r="T33" s="4" t="inlineStr">
        <is>
          <t xml:space="preserve">SOIC-8 Current Sense Amplifiers ROHS</t>
        </is>
      </c>
      <c r="U33" s="11" t="inlineStr">
        <is>
          <t xml:space="preserve">gain 100 V/V with the 1 mOhm R1; TI SBOSA30D: same SOIC-8 pinout for every gain, 1.1 MHz for all gains Alternates: C22427652 INA241A3IDR</t>
        </is>
      </c>
    </row>
    <row r="34">
</row>
    <row r="35">
      <c r="A35" s="0"/>
      <c r="B35" s="6" t="inlineStr">
        <is>
          <t xml:space="preserve">Parts total (JLC lines, 2 boards + attrition)</t>
        </is>
      </c>
      <c r="C35" s="0"/>
      <c r="D35" s="0"/>
      <c r="E35" s="0"/>
      <c r="F35" s="0"/>
      <c r="G35" s="0"/>
      <c r="H35" s="0"/>
      <c r="I35" s="0"/>
      <c r="J35" s="0"/>
      <c r="K35" s="7">
        <f>SUMIFS(K2:K33,O2:O33,"JLC")</f>
      </c>
    </row>
    <row r="36">
      <c r="A36" s="0"/>
      <c r="B36" s="6" t="inlineStr">
        <is>
          <t xml:space="preserve">Parts bought separately (priced lines)</t>
        </is>
      </c>
      <c r="C36" s="0"/>
      <c r="D36" s="0"/>
      <c r="E36" s="0"/>
      <c r="F36" s="0"/>
      <c r="G36" s="0"/>
      <c r="H36" s="0"/>
      <c r="I36" s="0"/>
      <c r="J36" s="0"/>
      <c r="K36" s="7">
        <f>SUMIFS(K2:K33,O2:O33,"by hand")</f>
      </c>
    </row>
    <row r="37">
      <c r="A37" s="0"/>
      <c r="B37" s="6" t="inlineStr">
        <is>
          <t xml:space="preserve">Unique JLC part numbers (feeder loading $1.53 each)</t>
        </is>
      </c>
      <c r="C37" s="0"/>
      <c r="D37" s="0"/>
      <c r="E37" s="0"/>
      <c r="F37" s="0"/>
      <c r="G37" s="0"/>
      <c r="H37" s="0"/>
      <c r="I37" s="0"/>
      <c r="J37" s="0"/>
      <c r="K37" s="10">
        <v>28</v>
      </c>
    </row>
  </sheetData>
  <autoFilter ref="A1:U33"/>
  <pageSetup orientation="landscape"/>
</worksheet>
</file>

<file path=xl/worksheets/sheet3.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0" customWidth="1"/>
    <col min="2" max="2" width="26.0" customWidth="1"/>
    <col min="3" max="3" width="7.0" customWidth="1"/>
    <col min="4" max="4" width="10.0" customWidth="1"/>
    <col min="5" max="5" width="34.0" customWidth="1"/>
    <col min="6" max="6" width="18.0" customWidth="1"/>
    <col min="7" max="7" width="22.0" customWidth="1"/>
    <col min="8" max="8" width="11.0" customWidth="1"/>
    <col min="9" max="9" width="10.0" customWidth="1"/>
    <col min="10" max="10" width="11.0" customWidth="1"/>
    <col min="11" max="11" width="11.0" customWidth="1"/>
    <col min="12" max="12" width="10.0" customWidth="1"/>
    <col min="13" max="13" width="16.0" customWidth="1"/>
    <col min="14" max="14" width="8.0" customWidth="1"/>
    <col min="15" max="15" width="11.0" customWidth="1"/>
    <col min="16" max="16" width="8.0" customWidth="1"/>
    <col min="17" max="17" width="8.0" customWidth="1"/>
    <col min="18" max="18" width="9.0" customWidth="1"/>
    <col min="19" max="19" width="16.0" customWidth="1"/>
    <col min="20" max="20" width="40.0" customWidth="1"/>
    <col min="21" max="21" width="60.0" customWidth="1"/>
  </cols>
  <sheetData>
    <row r="1">
      <c r="A1" s="1" t="inlineStr">
        <is>
          <t xml:space="preserve">#</t>
        </is>
      </c>
      <c r="B1" s="1" t="inlineStr">
        <is>
          <t xml:space="preserve">Designators</t>
        </is>
      </c>
      <c r="C1" s="1" t="inlineStr">
        <is>
          <t xml:space="preserve">Qty / board</t>
        </is>
      </c>
      <c r="D1" s="1" t="inlineStr">
        <is>
          <t xml:space="preserve">Qty to order (2 boards + attrition)</t>
        </is>
      </c>
      <c r="E1" s="1" t="inlineStr">
        <is>
          <t xml:space="preserve">Description</t>
        </is>
      </c>
      <c r="F1" s="1" t="inlineStr">
        <is>
          <t xml:space="preserve">Manufacturer</t>
        </is>
      </c>
      <c r="G1" s="1" t="inlineStr">
        <is>
          <t xml:space="preserve">Part number (MPN)</t>
        </is>
      </c>
      <c r="H1" s="1" t="inlineStr">
        <is>
          <t xml:space="preserve">LCSC #</t>
        </is>
      </c>
      <c r="I1" s="1" t="inlineStr">
        <is>
          <t xml:space="preserve">Basic / Extended</t>
        </is>
      </c>
      <c r="J1" s="1" t="inlineStr">
        <is>
          <t xml:space="preserve">Unit price (USD, qty 1)</t>
        </is>
      </c>
      <c r="K1" s="1" t="inlineStr">
        <is>
          <t xml:space="preserve">Line cost (USD)</t>
        </is>
      </c>
      <c r="L1" s="1" t="inlineStr">
        <is>
          <t xml:space="preserve">JLC stock</t>
        </is>
      </c>
      <c r="M1" s="1" t="inlineStr">
        <is>
          <t xml:space="preserve">Footprint</t>
        </is>
      </c>
      <c r="N1" s="1" t="inlineStr">
        <is>
          <t xml:space="preserve">Side</t>
        </is>
      </c>
      <c r="O1" s="1" t="inlineStr">
        <is>
          <t xml:space="preserve">Fitted by</t>
        </is>
      </c>
      <c r="P1" s="1" t="inlineStr">
        <is>
          <t xml:space="preserve">JLC page</t>
        </is>
      </c>
      <c r="Q1" s="1" t="inlineStr">
        <is>
          <t xml:space="preserve">LCSC page</t>
        </is>
      </c>
      <c r="R1" s="1" t="inlineStr">
        <is>
          <t xml:space="preserve">Datasheet</t>
        </is>
      </c>
      <c r="S1" s="1" t="inlineStr">
        <is>
          <t xml:space="preserve">Value (schematic)</t>
        </is>
      </c>
      <c r="T1" s="1" t="inlineStr">
        <is>
          <t xml:space="preserve">Specs (JLC listing)</t>
        </is>
      </c>
      <c r="U1" s="1" t="inlineStr">
        <is>
          <t xml:space="preserve">Notes</t>
        </is>
      </c>
    </row>
    <row r="2">
      <c r="A2" s="10">
        <v>1</v>
      </c>
      <c r="B2" s="4" t="inlineStr">
        <is>
          <t xml:space="preserve">C8 C9 C17 C19</t>
        </is>
      </c>
      <c r="C2" s="10">
        <v>4</v>
      </c>
      <c r="D2" s="10">
        <f>C2*2+20</f>
      </c>
      <c r="E2" s="4" t="inlineStr">
        <is>
          <t xml:space="preserve">ceramic capacitor 330pF 50 V C0G (0603)</t>
        </is>
      </c>
      <c r="F2" s="0" t="inlineStr">
        <is>
          <t xml:space="preserve">Samsung Electro-Mechanics</t>
        </is>
      </c>
      <c r="G2" s="0" t="inlineStr">
        <is>
          <t xml:space="preserve">CL10C331JB8NNNC</t>
        </is>
      </c>
      <c r="H2" s="0" t="inlineStr">
        <is>
          <t xml:space="preserve">C1664</t>
        </is>
      </c>
      <c r="I2" s="0" t="inlineStr">
        <is>
          <t xml:space="preserve">Basic</t>
        </is>
      </c>
      <c r="J2" s="3">
        <v>0.0179</v>
      </c>
      <c r="K2" s="2">
        <f>D2*J2</f>
      </c>
      <c r="L2" s="10">
        <v>915282</v>
      </c>
      <c r="M2" s="0" t="inlineStr">
        <is>
          <t xml:space="preserve">0603</t>
        </is>
      </c>
      <c r="N2" s="0" t="inlineStr">
        <is>
          <t xml:space="preserve">bottom/top</t>
        </is>
      </c>
      <c r="O2" s="0" t="inlineStr">
        <is>
          <t xml:space="preserve">JLC</t>
        </is>
      </c>
      <c r="P2" s="5">
        <f>HYPERLINK("https://jlcpcb.com/partdetail/2016-CL10C331JB8NNNC/C1664","JLC")</f>
      </c>
      <c r="Q2" s="5">
        <f>HYPERLINK("https://www.lcsc.com/product-detail/multilayer-ceramic-capacitors-mlcc-smd-smt_samsung-electro-mechanics-cl10c331jb8nnnc_C1664.html","LCSC")</f>
      </c>
      <c r="R2" s="5">
        <f>HYPERLINK("https://www.lcsc.com/datasheet/lcsc_datasheet_2304140030_Samsung-Electro-Mechanics-CL10C331JB8NNNC_C1664.pdf","PDF")</f>
      </c>
      <c r="S2" s="0" t="inlineStr">
        <is>
          <t xml:space="preserve">330pF</t>
        </is>
      </c>
      <c r="T2" s="4" t="inlineStr">
        <is>
          <t xml:space="preserve">330pF 50V C0G ±5% 0603 Multilayer Ceramic Capacitors MLCC - SMD/SMT ROHS</t>
        </is>
      </c>
      <c r="U2" s="11" t="inlineStr">
        <is>
          <t xml:space="preserve">timing / compensation / sample-and-hold: C0G</t>
        </is>
      </c>
    </row>
    <row r="3">
      <c r="A3" s="10">
        <v>2</v>
      </c>
      <c r="B3" s="4" t="inlineStr">
        <is>
          <t xml:space="preserve">C10 C11 C13</t>
        </is>
      </c>
      <c r="C3" s="10">
        <v>3</v>
      </c>
      <c r="D3" s="10">
        <f>C3*2+20</f>
      </c>
      <c r="E3" s="4" t="inlineStr">
        <is>
          <t xml:space="preserve">ceramic capacitor 4.7nF 50 V C0G (0603)</t>
        </is>
      </c>
      <c r="F3" s="0" t="inlineStr">
        <is>
          <t xml:space="preserve">Murata Electronics</t>
        </is>
      </c>
      <c r="G3" s="0" t="inlineStr">
        <is>
          <t xml:space="preserve">GRM1885C1H472JA01D</t>
        </is>
      </c>
      <c r="H3" s="0" t="inlineStr">
        <is>
          <t xml:space="preserve">C85980</t>
        </is>
      </c>
      <c r="I3" s="0" t="inlineStr">
        <is>
          <t xml:space="preserve">Extended</t>
        </is>
      </c>
      <c r="J3" s="3">
        <v>0.0212</v>
      </c>
      <c r="K3" s="2">
        <f>D3*J3</f>
      </c>
      <c r="L3" s="10">
        <v>99447</v>
      </c>
      <c r="M3" s="0" t="inlineStr">
        <is>
          <t xml:space="preserve">0603</t>
        </is>
      </c>
      <c r="N3" s="0" t="inlineStr">
        <is>
          <t xml:space="preserve">bottom/top</t>
        </is>
      </c>
      <c r="O3" s="0" t="inlineStr">
        <is>
          <t xml:space="preserve">JLC</t>
        </is>
      </c>
      <c r="P3" s="5">
        <f>HYPERLINK("https://jlcpcb.com/partdetail/MurataElectronics-GRM1885C1H472JA01D/C85980","JLC")</f>
      </c>
      <c r="Q3" s="5">
        <f>HYPERLINK("https://www.lcsc.com/product-detail/multilayer-ceramic-capacitors-mlcc-smd-smt_murata-electronics-grm1885c1h472ja01d_C85980.html","LCSC")</f>
      </c>
      <c r="R3" s="5">
        <f>HYPERLINK("https://wmsc.lcsc.com/wmsc/upload/file/pdf/v2/lcsc/2304140030_Murata-Electronics-GRM1885C1H472JA01D_C85980.pdf","PDF")</f>
      </c>
      <c r="S3" s="0" t="inlineStr">
        <is>
          <t xml:space="preserve">4.7nF</t>
        </is>
      </c>
      <c r="T3" s="4" t="inlineStr">
        <is>
          <t xml:space="preserve">4.7nF 50V C0G ±5% 0603 Multilayer Ceramic Capacitors MLCC - SMD/SMT ROHS</t>
        </is>
      </c>
      <c r="U3" s="11" t="inlineStr">
        <is>
          <t xml:space="preserve">timing / compensation / sample-and-hold: C0G; on Verr1-3 Alternates: C53987 X7R Basic</t>
        </is>
      </c>
    </row>
    <row r="4">
      <c r="A4" s="10">
        <v>3</v>
      </c>
      <c r="B4" s="4" t="inlineStr">
        <is>
          <t xml:space="preserve">C12 C22 C23 C24 C26 C28 C29 C32 C36 C37 C38 C42 C43 C46 C52 C53 C54 C58 C59 C63 C65 C66 C68 C92 C94 C95 C96 C97 C98 C99 C104</t>
        </is>
      </c>
      <c r="C4" s="10">
        <v>31</v>
      </c>
      <c r="D4" s="10">
        <f>C4*2+20</f>
      </c>
      <c r="E4" s="4" t="inlineStr">
        <is>
          <t xml:space="preserve">ceramic capacitor 100nF 50 V X7R (0603)</t>
        </is>
      </c>
      <c r="F4" s="0" t="inlineStr">
        <is>
          <t xml:space="preserve">YAGEO</t>
        </is>
      </c>
      <c r="G4" s="0" t="inlineStr">
        <is>
          <t xml:space="preserve">CC0603KRX7R9BB104</t>
        </is>
      </c>
      <c r="H4" s="0" t="inlineStr">
        <is>
          <t xml:space="preserve">C14663</t>
        </is>
      </c>
      <c r="I4" s="0" t="inlineStr">
        <is>
          <t xml:space="preserve">Basic</t>
        </is>
      </c>
      <c r="J4" s="3">
        <v>0.0123</v>
      </c>
      <c r="K4" s="2">
        <f>D4*J4</f>
      </c>
      <c r="L4" s="10">
        <v>54422762</v>
      </c>
      <c r="M4" s="0" t="inlineStr">
        <is>
          <t xml:space="preserve">0603</t>
        </is>
      </c>
      <c r="N4" s="0" t="inlineStr">
        <is>
          <t xml:space="preserve">bottom/top</t>
        </is>
      </c>
      <c r="O4" s="0" t="inlineStr">
        <is>
          <t xml:space="preserve">JLC</t>
        </is>
      </c>
      <c r="P4" s="5">
        <f>HYPERLINK("https://jlcpcb.com/partdetail/YAGEO-CC0603KRX7R9BB104/C14663","JLC")</f>
      </c>
      <c r="Q4" s="5">
        <f>HYPERLINK("https://www.lcsc.com/product-detail/multilayer-ceramic-capacitors-mlcc-smd-smt_yageo-cc0603krx7r9bb104_C14663.html","LCSC")</f>
      </c>
      <c r="R4" s="5">
        <f>HYPERLINK("https://www.lcsc.com/datasheet/lcsc_datasheet_2211101700_YAGEO-CC0603KRX7R9BB104_C14663.pdf","PDF")</f>
      </c>
      <c r="S4" s="0" t="inlineStr">
        <is>
          <t xml:space="preserve">100nF</t>
        </is>
      </c>
      <c r="T4" s="4" t="inlineStr">
        <is>
          <t xml:space="preserve">100nF 50V X7R ±10% 0603 Multilayer Ceramic Capacitors MLCC - SMD/SMT ROHS</t>
        </is>
      </c>
      <c r="U4" s="11" t="inlineStr">
        <is>
          <t xml:space="preserve">value and package from the schematic; X7R, voltage rating at least 2x the net (rails 5/12 V, Vin 14-17 V)</t>
        </is>
      </c>
    </row>
    <row r="5">
      <c r="A5" s="10">
        <v>4</v>
      </c>
      <c r="B5" s="4" t="inlineStr">
        <is>
          <t xml:space="preserve">C14</t>
        </is>
      </c>
      <c r="C5" s="10">
        <v>1</v>
      </c>
      <c r="D5" s="10">
        <f>C5*2+20</f>
      </c>
      <c r="E5" s="4" t="inlineStr">
        <is>
          <t xml:space="preserve">ceramic capacitor 220pF 50 V C0G (0603)</t>
        </is>
      </c>
      <c r="F5" s="0" t="inlineStr">
        <is>
          <t xml:space="preserve">Samsung Electro-Mechanics</t>
        </is>
      </c>
      <c r="G5" s="0" t="inlineStr">
        <is>
          <t xml:space="preserve">CL10C221JB8NNNC</t>
        </is>
      </c>
      <c r="H5" s="0" t="inlineStr">
        <is>
          <t xml:space="preserve">C27675</t>
        </is>
      </c>
      <c r="I5" s="0" t="inlineStr">
        <is>
          <t xml:space="preserve">Extended</t>
        </is>
      </c>
      <c r="J5" s="3">
        <v>0.0095</v>
      </c>
      <c r="K5" s="2">
        <f>D5*J5</f>
      </c>
      <c r="L5" s="10">
        <v>32979</v>
      </c>
      <c r="M5" s="0" t="inlineStr">
        <is>
          <t xml:space="preserve">0603</t>
        </is>
      </c>
      <c r="N5" s="0" t="inlineStr">
        <is>
          <t xml:space="preserve">top</t>
        </is>
      </c>
      <c r="O5" s="0" t="inlineStr">
        <is>
          <t xml:space="preserve">JLC</t>
        </is>
      </c>
      <c r="P5" s="5">
        <f>HYPERLINK("https://jlcpcb.com/partdetail/28425-CL10C221JB8NNNC/C27675","JLC")</f>
      </c>
      <c r="Q5" s="5">
        <f>HYPERLINK("https://www.lcsc.com/product-detail/multilayer-ceramic-capacitors-mlcc-smd-smt_samsung-electro-mechanics-cl10c221jb8nnnc_C27675.html","LCSC")</f>
      </c>
      <c r="R5" s="5">
        <f>HYPERLINK("https://www.lcsc.com/datasheet/lcsc_datasheet_2304140030_Samsung-Electro-Mechanics-CL10C221JB8NNNC_C27675.pdf","PDF")</f>
      </c>
      <c r="S5" s="0" t="inlineStr">
        <is>
          <t xml:space="preserve">220pF</t>
        </is>
      </c>
      <c r="T5" s="4" t="inlineStr">
        <is>
          <t xml:space="preserve">220pF 50V C0G ±5% 0603 Multilayer Ceramic Capacitors MLCC - SMD/SMT ROHS</t>
        </is>
      </c>
      <c r="U5" s="11" t="inlineStr">
        <is>
          <t xml:space="preserve">timing / compensation / sample-and-hold: C0G; Q1 emitter Alternates: C1603 X7R Basic</t>
        </is>
      </c>
    </row>
    <row r="6">
      <c r="A6" s="10">
        <v>5</v>
      </c>
      <c r="B6" s="4" t="inlineStr">
        <is>
          <t xml:space="preserve">C15</t>
        </is>
      </c>
      <c r="C6" s="10">
        <v>1</v>
      </c>
      <c r="D6" s="10">
        <f>C6*2+20</f>
      </c>
      <c r="E6" s="4" t="inlineStr">
        <is>
          <t xml:space="preserve">ceramic capacitor 100pF 50 V C0G (0603)</t>
        </is>
      </c>
      <c r="F6" s="0" t="inlineStr">
        <is>
          <t xml:space="preserve">Samsung Electro-Mechanics</t>
        </is>
      </c>
      <c r="G6" s="0" t="inlineStr">
        <is>
          <t xml:space="preserve">CL10C101JB8NNNC</t>
        </is>
      </c>
      <c r="H6" s="0" t="inlineStr">
        <is>
          <t xml:space="preserve">C14858</t>
        </is>
      </c>
      <c r="I6" s="0" t="inlineStr">
        <is>
          <t xml:space="preserve">Basic</t>
        </is>
      </c>
      <c r="J6" s="3">
        <v>0.0086</v>
      </c>
      <c r="K6" s="2">
        <f>D6*J6</f>
      </c>
      <c r="L6" s="10">
        <v>3911823</v>
      </c>
      <c r="M6" s="0" t="inlineStr">
        <is>
          <t xml:space="preserve">0603</t>
        </is>
      </c>
      <c r="N6" s="0" t="inlineStr">
        <is>
          <t xml:space="preserve">top</t>
        </is>
      </c>
      <c r="O6" s="0" t="inlineStr">
        <is>
          <t xml:space="preserve">JLC</t>
        </is>
      </c>
      <c r="P6" s="5">
        <f>HYPERLINK("https://jlcpcb.com/partdetail/15530-CL10C101JB8NNNC/C14858","JLC")</f>
      </c>
      <c r="Q6" s="5">
        <f>HYPERLINK("https://www.lcsc.com/product-detail/multilayer-ceramic-capacitors-mlcc-smd-smt_samsung-electro-mechanics-cl10c101jb8nnnc_C14858.html","LCSC")</f>
      </c>
      <c r="R6" s="5">
        <f>HYPERLINK("https://www.lcsc.com/datasheet/lcsc_datasheet_2304140030_Samsung-Electro-Mechanics-CL10C101JB8NNNC_C14858.pdf","PDF")</f>
      </c>
      <c r="S6" s="0" t="inlineStr">
        <is>
          <t xml:space="preserve">100pF</t>
        </is>
      </c>
      <c r="T6" s="4" t="inlineStr">
        <is>
          <t xml:space="preserve">100pF 50V C0G ±5% 0603 Multilayer Ceramic Capacitors MLCC - SMD/SMT ROHS</t>
        </is>
      </c>
      <c r="U6" s="11" t="inlineStr">
        <is>
          <t xml:space="preserve">timing / compensation / sample-and-hold: C0G</t>
        </is>
      </c>
    </row>
    <row r="7">
      <c r="A7" s="10">
        <v>6</v>
      </c>
      <c r="B7" s="4" t="inlineStr">
        <is>
          <t xml:space="preserve">C47 C93 C103</t>
        </is>
      </c>
      <c r="C7" s="10">
        <v>3</v>
      </c>
      <c r="D7" s="10">
        <f>C7*2+20</f>
      </c>
      <c r="E7" s="4" t="inlineStr">
        <is>
          <t xml:space="preserve">ceramic capacitor 10uF 25 V X5R (0603)</t>
        </is>
      </c>
      <c r="F7" s="0" t="inlineStr">
        <is>
          <t xml:space="preserve">Samsung Electro-Mechanics</t>
        </is>
      </c>
      <c r="G7" s="0" t="inlineStr">
        <is>
          <t xml:space="preserve">CL10A106MA8NRNC</t>
        </is>
      </c>
      <c r="H7" s="0" t="inlineStr">
        <is>
          <t xml:space="preserve">C96446</t>
        </is>
      </c>
      <c r="I7" s="0" t="inlineStr">
        <is>
          <t xml:space="preserve">Basic</t>
        </is>
      </c>
      <c r="J7" s="3">
        <v>0.0752</v>
      </c>
      <c r="K7" s="2">
        <f>D7*J7</f>
      </c>
      <c r="L7" s="10">
        <v>3361748</v>
      </c>
      <c r="M7" s="0" t="inlineStr">
        <is>
          <t xml:space="preserve">0603</t>
        </is>
      </c>
      <c r="N7" s="0" t="inlineStr">
        <is>
          <t xml:space="preserve">bottom</t>
        </is>
      </c>
      <c r="O7" s="0" t="inlineStr">
        <is>
          <t xml:space="preserve">JLC</t>
        </is>
      </c>
      <c r="P7" s="5">
        <f>HYPERLINK("https://jlcpcb.com/partdetail/97651-CL10A106MA8NRNC/C96446","JLC")</f>
      </c>
      <c r="Q7" s="5">
        <f>HYPERLINK("https://www.lcsc.com/product-detail/multilayer-ceramic-capacitors-mlcc-smd-smt_samsung-electro-mechanics-cl10a106ma8nrnc_C96446.html","LCSC")</f>
      </c>
      <c r="R7" s="5">
        <f>HYPERLINK("https://www.lcsc.com/datasheet/lcsc_datasheet_2304140030_Samsung-Electro-Mechanics-CL10A106MA8NRNC_C96446.pdf","PDF")</f>
      </c>
      <c r="S7" s="0" t="inlineStr">
        <is>
          <t xml:space="preserve">10uF</t>
        </is>
      </c>
      <c r="T7" s="4" t="inlineStr">
        <is>
          <t xml:space="preserve">10uF 25V X5R ±20% 0603 Multilayer Ceramic Capacitors MLCC - SMD/SMT ROHS</t>
        </is>
      </c>
      <c r="U7" s="11" t="inlineStr">
        <is>
          <t xml:space="preserve">value and package from the schematic; X7R, voltage rating at least 2x the net (rails 5/12 V, Vin 14-17 V); Vref_1-3 (5 V): 25 V X5R</t>
        </is>
      </c>
    </row>
    <row r="8">
      <c r="A8" s="10">
        <v>7</v>
      </c>
      <c r="B8" s="4" t="inlineStr">
        <is>
          <t xml:space="preserve">C49 C64 C67</t>
        </is>
      </c>
      <c r="C8" s="10">
        <v>3</v>
      </c>
      <c r="D8" s="10">
        <f>C8*2+0</f>
      </c>
      <c r="E8" s="4" t="inlineStr">
        <is>
          <t xml:space="preserve">ceramic capacitor 100nF 50 V C0G (1206)</t>
        </is>
      </c>
      <c r="F8" s="0" t="inlineStr">
        <is>
          <t xml:space="preserve">Murata Electronics</t>
        </is>
      </c>
      <c r="G8" s="0" t="inlineStr">
        <is>
          <t xml:space="preserve">GRM31C5C1H104JA01L</t>
        </is>
      </c>
      <c r="H8" s="0" t="inlineStr">
        <is>
          <t xml:space="preserve">C97946</t>
        </is>
      </c>
      <c r="I8" s="0" t="inlineStr">
        <is>
          <t xml:space="preserve">Extended</t>
        </is>
      </c>
      <c r="J8" s="3">
        <v>0.1849</v>
      </c>
      <c r="K8" s="2">
        <f>D8*J8</f>
      </c>
      <c r="L8" s="10">
        <v>88688</v>
      </c>
      <c r="M8" s="0" t="inlineStr">
        <is>
          <t xml:space="preserve">1206</t>
        </is>
      </c>
      <c r="N8" s="0" t="inlineStr">
        <is>
          <t xml:space="preserve">bottom</t>
        </is>
      </c>
      <c r="O8" s="0" t="inlineStr">
        <is>
          <t xml:space="preserve">JLC</t>
        </is>
      </c>
      <c r="P8" s="5">
        <f>HYPERLINK("https://jlcpcb.com/partdetail/MurataElectronics-GRM31C5C1H104JA01L/C97946","JLC")</f>
      </c>
      <c r="Q8" s="5">
        <f>HYPERLINK("https://www.lcsc.com/product-detail/multilayer-ceramic-capacitors-mlcc-smd-smt_murata-electronics-grm31c5c1h104ja01l_C97946.html","LCSC")</f>
      </c>
      <c r="R8" s="5">
        <f>HYPERLINK("https://www.lcsc.com/datasheet/lcsc_datasheet_1810201313_Murata-Electronics-GRM31C5C1H104JA01L_C97946.pdf","PDF")</f>
      </c>
      <c r="S8" s="0" t="inlineStr">
        <is>
          <t xml:space="preserve">100nF</t>
        </is>
      </c>
      <c r="T8" s="4" t="inlineStr">
        <is>
          <t xml:space="preserve">100nF 50V C0G ±5% 1206 Multilayer Ceramic Capacitors MLCC - SMD/SMT ROHS</t>
        </is>
      </c>
      <c r="U8" s="11" t="inlineStr">
        <is>
          <t xml:space="preserve">timing / compensation / sample-and-hold: C0G; sample-and-hold into the 4066 switches Alternates: C14663-class X7R</t>
        </is>
      </c>
    </row>
    <row r="9">
      <c r="A9" s="10">
        <v>8</v>
      </c>
      <c r="B9" s="4" t="inlineStr">
        <is>
          <t xml:space="preserve">C57 C91</t>
        </is>
      </c>
      <c r="C9" s="10">
        <v>2</v>
      </c>
      <c r="D9" s="10">
        <f>C9*2+20</f>
      </c>
      <c r="E9" s="4" t="inlineStr">
        <is>
          <t xml:space="preserve">ceramic capacitor 1uF 50 V X7R (0805)</t>
        </is>
      </c>
      <c r="F9" s="0" t="inlineStr">
        <is>
          <t xml:space="preserve">Samsung Electro-Mechanics</t>
        </is>
      </c>
      <c r="G9" s="0" t="inlineStr">
        <is>
          <t xml:space="preserve">CL21B105KBFNNNE</t>
        </is>
      </c>
      <c r="H9" s="0" t="inlineStr">
        <is>
          <t xml:space="preserve">C28323</t>
        </is>
      </c>
      <c r="I9" s="0" t="inlineStr">
        <is>
          <t xml:space="preserve">Basic</t>
        </is>
      </c>
      <c r="J9" s="3">
        <v>0.0399</v>
      </c>
      <c r="K9" s="2">
        <f>D9*J9</f>
      </c>
      <c r="L9" s="10">
        <v>2288251</v>
      </c>
      <c r="M9" s="0" t="inlineStr">
        <is>
          <t xml:space="preserve">0805</t>
        </is>
      </c>
      <c r="N9" s="0" t="inlineStr">
        <is>
          <t xml:space="preserve">bottom/top</t>
        </is>
      </c>
      <c r="O9" s="0" t="inlineStr">
        <is>
          <t xml:space="preserve">JLC</t>
        </is>
      </c>
      <c r="P9" s="5">
        <f>HYPERLINK("https://jlcpcb.com/partdetail/29074-CL21B105KBFNNNE/C28323","JLC")</f>
      </c>
      <c r="Q9" s="5">
        <f>HYPERLINK("https://www.lcsc.com/product-detail/multilayer-ceramic-capacitors-mlcc-smd-smt_samsung-electro-mechanics-cl21b105kbfnnne_C28323.html","LCSC")</f>
      </c>
      <c r="R9" s="5">
        <f>HYPERLINK("https://www.lcsc.com/datasheet/lcsc_datasheet_2304140030_Samsung-Electro-Mechanics-CL21B105KBFNNNE_C28323.pdf","PDF")</f>
      </c>
      <c r="S9" s="0" t="inlineStr">
        <is>
          <t xml:space="preserve">1uF</t>
        </is>
      </c>
      <c r="T9" s="4" t="inlineStr">
        <is>
          <t xml:space="preserve">1uF 50V X7R ±10% 0805 Multilayer Ceramic Capacitors MLCC - SMD/SMT ROHS</t>
        </is>
      </c>
      <c r="U9" s="11" t="inlineStr">
        <is>
          <t xml:space="preserve">value and package from the schematic; X7R, voltage rating at least 2x the net (rails 5/12 V, Vin 14-17 V)</t>
        </is>
      </c>
    </row>
    <row r="10">
      <c r="A10" s="10">
        <v>9</v>
      </c>
      <c r="B10" s="4" t="inlineStr">
        <is>
          <t xml:space="preserve">C100 C101 C102</t>
        </is>
      </c>
      <c r="C10" s="10">
        <v>3</v>
      </c>
      <c r="D10" s="10">
        <f>C10*2+20</f>
      </c>
      <c r="E10" s="4" t="inlineStr">
        <is>
          <t xml:space="preserve">ceramic capacitor 1nF 50 V X7R (0603)</t>
        </is>
      </c>
      <c r="F10" s="0" t="inlineStr">
        <is>
          <t xml:space="preserve">Samsung Electro-Mechanics</t>
        </is>
      </c>
      <c r="G10" s="0" t="inlineStr">
        <is>
          <t xml:space="preserve">CL10B102KB8NNNC</t>
        </is>
      </c>
      <c r="H10" s="0" t="inlineStr">
        <is>
          <t xml:space="preserve">C1588</t>
        </is>
      </c>
      <c r="I10" s="0" t="inlineStr">
        <is>
          <t xml:space="preserve">Basic</t>
        </is>
      </c>
      <c r="J10" s="3">
        <v>0.0089</v>
      </c>
      <c r="K10" s="2">
        <f>D10*J10</f>
      </c>
      <c r="L10" s="10">
        <v>7811866</v>
      </c>
      <c r="M10" s="0" t="inlineStr">
        <is>
          <t xml:space="preserve">0603</t>
        </is>
      </c>
      <c r="N10" s="0" t="inlineStr">
        <is>
          <t xml:space="preserve">bottom/top</t>
        </is>
      </c>
      <c r="O10" s="0" t="inlineStr">
        <is>
          <t xml:space="preserve">JLC</t>
        </is>
      </c>
      <c r="P10" s="5">
        <f>HYPERLINK("https://jlcpcb.com/partdetail/1940-CL10B102KB8NNNC/C1588","JLC")</f>
      </c>
      <c r="Q10" s="5">
        <f>HYPERLINK("https://www.lcsc.com/product-detail/multilayer-ceramic-capacitors-mlcc-smd-smt_samsung-electro-mechanics-cl10b102kb8nnnc_C1588.html","LCSC")</f>
      </c>
      <c r="R10" s="5">
        <f>HYPERLINK("https://www.lcsc.com/datasheet/lcsc_datasheet_2304140030_Samsung-Electro-Mechanics-CL10B102KB8NNNC_C1588.pdf","PDF")</f>
      </c>
      <c r="S10" s="0" t="inlineStr">
        <is>
          <t xml:space="preserve">1nF</t>
        </is>
      </c>
      <c r="T10" s="4" t="inlineStr">
        <is>
          <t xml:space="preserve">1nF 50V X7R ±10% 0603 Multilayer Ceramic Capacitors MLCC - SMD/SMT ROHS</t>
        </is>
      </c>
      <c r="U10" s="11" t="inlineStr">
        <is>
          <t xml:space="preserve">value and package from the schematic; X7R, voltage rating at least 2x the net (rails 5/12 V, Vin 14-17 V); pot B-terminal filter</t>
        </is>
      </c>
    </row>
    <row r="11">
      <c r="A11" s="10">
        <v>10</v>
      </c>
      <c r="B11" s="4" t="inlineStr">
        <is>
          <t xml:space="preserve">D1 D3 D4 D5 D6 D7 D15 D20 D24 D27</t>
        </is>
      </c>
      <c r="C11" s="10">
        <v>10</v>
      </c>
      <c r="D11" s="10">
        <f>C11*2+20</f>
      </c>
      <c r="E11" s="4" t="inlineStr">
        <is>
          <t xml:space="preserve">small-signal diode 75 V</t>
        </is>
      </c>
      <c r="F11" s="0" t="inlineStr">
        <is>
          <t xml:space="preserve">ST(Semtech)</t>
        </is>
      </c>
      <c r="G11" s="0" t="inlineStr">
        <is>
          <t xml:space="preserve">1N4148W</t>
        </is>
      </c>
      <c r="H11" s="0" t="inlineStr">
        <is>
          <t xml:space="preserve">C81598</t>
        </is>
      </c>
      <c r="I11" s="0" t="inlineStr">
        <is>
          <t xml:space="preserve">Basic</t>
        </is>
      </c>
      <c r="J11" s="3">
        <v>0.0123</v>
      </c>
      <c r="K11" s="2">
        <f>D11*J11</f>
      </c>
      <c r="L11" s="10">
        <v>5212124</v>
      </c>
      <c r="M11" s="0" t="inlineStr">
        <is>
          <t xml:space="preserve">SOD-123</t>
        </is>
      </c>
      <c r="N11" s="0" t="inlineStr">
        <is>
          <t xml:space="preserve">bottom/top</t>
        </is>
      </c>
      <c r="O11" s="0" t="inlineStr">
        <is>
          <t xml:space="preserve">JLC</t>
        </is>
      </c>
      <c r="P11" s="5">
        <f>HYPERLINK("https://jlcpcb.com/partdetail/ST_Semtech-1N4148W/C81598","JLC")</f>
      </c>
      <c r="Q11" s="5">
        <f>HYPERLINK("https://www.lcsc.com/product-detail/switching-diodes_st-semtech-1n4148w_C81598.html","LCSC")</f>
      </c>
      <c r="R11" s="5">
        <f>HYPERLINK("https://www.lcsc.com/datasheet/lcsc_datasheet_1811061725_ST-Semtech-1N4148W_C81598.pdf","PDF")</f>
      </c>
      <c r="S11" s="0" t="inlineStr">
        <is>
          <t xml:space="preserve">1N4148W (logic)</t>
        </is>
      </c>
      <c r="T11" s="4" t="inlineStr">
        <is>
          <t xml:space="preserve">150mA 1A 1V@50mA 1uA@75V 400mW 4ns 75V Independent SOD-123 Switching Diodes ROHS</t>
        </is>
      </c>
      <c r="U11" s="11" t="inlineStr">
        <is>
          <t xml:space="preserve">no diode type in the schematic (LTspice default silicon diode). BOM part: 1N4148W (Basic), the closest real part to what was simulated</t>
        </is>
      </c>
    </row>
    <row r="12">
      <c r="A12" s="10">
        <v>11</v>
      </c>
      <c r="B12" s="4" t="inlineStr">
        <is>
          <t xml:space="preserve">D23 D25 D26</t>
        </is>
      </c>
      <c r="C12" s="10">
        <v>3</v>
      </c>
      <c r="D12" s="10">
        <f>C12*2+20</f>
      </c>
      <c r="E12" s="4" t="inlineStr">
        <is>
          <t xml:space="preserve">Schottky diode 30 V 0.2 A</t>
        </is>
      </c>
      <c r="F12" s="0" t="inlineStr">
        <is>
          <t xml:space="preserve">Jiangsu Changjing Electronics Technology Co., Ltd.</t>
        </is>
      </c>
      <c r="G12" s="0" t="inlineStr">
        <is>
          <t xml:space="preserve">BAT54WS L9</t>
        </is>
      </c>
      <c r="H12" s="0" t="inlineStr">
        <is>
          <t xml:space="preserve">C22629</t>
        </is>
      </c>
      <c r="I12" s="0" t="inlineStr">
        <is>
          <t xml:space="preserve">Extended</t>
        </is>
      </c>
      <c r="J12" s="3">
        <v>0.0238</v>
      </c>
      <c r="K12" s="2">
        <f>D12*J12</f>
      </c>
      <c r="L12" s="10">
        <v>1078</v>
      </c>
      <c r="M12" s="0" t="inlineStr">
        <is>
          <t xml:space="preserve">SOD-323</t>
        </is>
      </c>
      <c r="N12" s="0" t="inlineStr">
        <is>
          <t xml:space="preserve">bottom/top</t>
        </is>
      </c>
      <c r="O12" s="0" t="inlineStr">
        <is>
          <t xml:space="preserve">JLC</t>
        </is>
      </c>
      <c r="P12" s="5">
        <f>HYPERLINK("https://jlcpcb.com/partdetail/23356-BAT54WSL9/C22629","JLC")</f>
      </c>
      <c r="Q12" s="5">
        <f>HYPERLINK("https://www.lcsc.com/product-detail/schottky-diodes_jiangsu-changjing-electronics-technology-co-ltd-bat54ws-l9_C22629.html","LCSC")</f>
      </c>
      <c r="R12" s="5">
        <f>HYPERLINK("https://www.lcsc.com/datasheet/lcsc_datasheet_1809140116_Jiangsu-Changjing-Electronics-Technology-Co---Ltd--BAT54WS-L9_C22629.pdf","PDF")</f>
      </c>
      <c r="S12" s="0" t="inlineStr">
        <is>
          <t xml:space="preserve">BAT54WS (Vref)</t>
        </is>
      </c>
      <c r="T12" s="4" t="inlineStr">
        <is>
          <t xml:space="preserve">100mA 1V@100mA 2uA@25V 30V 600mA Independent SOD-323 Schottky Diodes ROHS</t>
        </is>
      </c>
      <c r="U12" s="11" t="inlineStr">
        <is>
          <t xml:space="preserve">no type in the schematic; the design notes show BAT54 on this path (Output -&gt; .1Vref_n). BOM part: BAT54WS Alternates: C124205 BAT54WS-7-F</t>
        </is>
      </c>
    </row>
    <row r="13">
      <c r="A13" s="10">
        <v>12</v>
      </c>
      <c r="B13" s="4" t="inlineStr">
        <is>
          <t xml:space="preserve">J11</t>
        </is>
      </c>
      <c r="C13" s="10">
        <v>1</v>
      </c>
      <c r="D13" s="10">
        <f>C13*2</f>
      </c>
      <c r="E13" s="4" t="inlineStr">
        <is>
          <t xml:space="preserve">2x15 pin header, 2.54 mm (Samtec)</t>
        </is>
      </c>
      <c r="F13" s="0" t="inlineStr">
        <is>
          <t xml:space="preserve">Samtec</t>
        </is>
      </c>
      <c r="G13" s="0" t="inlineStr">
        <is>
          <t xml:space="preserve">TSW-115-07-G-D</t>
        </is>
      </c>
      <c r="H13" s="0"/>
      <c r="I13" s="0"/>
      <c r="J13" s="3">
        <v>3.18</v>
      </c>
      <c r="K13" s="2">
        <f>D13*J13</f>
      </c>
      <c r="L13" s="0"/>
      <c r="M13" s="0" t="inlineStr">
        <is>
          <t xml:space="preserve">PinHeader 2x15</t>
        </is>
      </c>
      <c r="N13" s="0" t="inlineStr">
        <is>
          <t xml:space="preserve">bottom</t>
        </is>
      </c>
      <c r="O13" s="0" t="inlineStr">
        <is>
          <t xml:space="preserve">by hand</t>
        </is>
      </c>
      <c r="P13" s="5">
        <f>HYPERLINK("https://www.samtec.com/products/tsw-115-07-g-d","Maker")</f>
      </c>
      <c r="Q13" s="0"/>
      <c r="R13" s="0"/>
      <c r="S13" s="0" t="inlineStr">
        <is>
          <t xml:space="preserve">TSW-115-07-G-D</t>
        </is>
      </c>
      <c r="T13" s="0"/>
      <c r="U13" s="11" t="inlineStr">
        <is>
          <t xml:space="preserve">Mouser price as listed on samtec.com; bought separately, fitted by hand. The part named in the schematic; LCSC lists it with 0 in stock; buy from Samtec / Digi-Key / Mouser Alternates: C5994596 (stock 0)</t>
        </is>
      </c>
    </row>
    <row r="14">
      <c r="A14" s="10">
        <v>13</v>
      </c>
      <c r="B14" s="4" t="inlineStr">
        <is>
          <t xml:space="preserve">Q1</t>
        </is>
      </c>
      <c r="C14" s="10">
        <v>1</v>
      </c>
      <c r="D14" s="10">
        <f>C14*2+20</f>
      </c>
      <c r="E14" s="4" t="inlineStr">
        <is>
          <t xml:space="preserve">PNP transistor 40 V</t>
        </is>
      </c>
      <c r="F14" s="0" t="inlineStr">
        <is>
          <t xml:space="preserve">onsemi</t>
        </is>
      </c>
      <c r="G14" s="0" t="inlineStr">
        <is>
          <t xml:space="preserve">MMBT3906LT1G</t>
        </is>
      </c>
      <c r="H14" s="0" t="inlineStr">
        <is>
          <t xml:space="preserve">C53444</t>
        </is>
      </c>
      <c r="I14" s="0" t="inlineStr">
        <is>
          <t xml:space="preserve">Extended</t>
        </is>
      </c>
      <c r="J14" s="3">
        <v>0.0189</v>
      </c>
      <c r="K14" s="2">
        <f>D14*J14</f>
      </c>
      <c r="L14" s="10">
        <v>1000823</v>
      </c>
      <c r="M14" s="0" t="inlineStr">
        <is>
          <t xml:space="preserve">SOT-23</t>
        </is>
      </c>
      <c r="N14" s="0" t="inlineStr">
        <is>
          <t xml:space="preserve">bottom</t>
        </is>
      </c>
      <c r="O14" s="0" t="inlineStr">
        <is>
          <t xml:space="preserve">JLC</t>
        </is>
      </c>
      <c r="P14" s="5">
        <f>HYPERLINK("https://jlcpcb.com/partdetail/onsemi-MMBT3906LT1G/C53444","JLC")</f>
      </c>
      <c r="Q14" s="5">
        <f>HYPERLINK("https://www.lcsc.com/product-detail/bipolar-bjt_onsemi-mmbt3906lt1g_C53444.html","LCSC")</f>
      </c>
      <c r="R14" s="5">
        <f>HYPERLINK("https://www.lcsc.com/datasheet/lcsc_datasheet_1810301518_onsemi-MMBT3906LT1G_C53444.pdf","PDF")</f>
      </c>
      <c r="S14" s="0" t="inlineStr">
        <is>
          <t xml:space="preserve">MMBT3906</t>
        </is>
      </c>
      <c r="T14" s="4" t="inlineStr">
        <is>
          <t xml:space="preserve">-55℃~+150℃ 1 PNP 200mA 225mW 250MHz 250mV 40V 50nA 5V 60 PNP SOT-23 Bipolar (BJT) ROHS</t>
        </is>
      </c>
      <c r="U14" s="11" t="inlineStr">
        <is>
          <t xml:space="preserve">no transistor type in the schematic (LTspice generic PNP). BOM part: MMBT3906 Alternates: C2143 JSCJ MMBT3906</t>
        </is>
      </c>
    </row>
    <row r="15">
      <c r="A15" s="10">
        <v>14</v>
      </c>
      <c r="B15" s="4" t="inlineStr">
        <is>
          <t xml:space="preserve">R2 R6 R31 R33 R39 R41 R67 R77 R83 R85 R100 R101 R103</t>
        </is>
      </c>
      <c r="C15" s="10">
        <v>13</v>
      </c>
      <c r="D15" s="10">
        <f>C15*2+20</f>
      </c>
      <c r="E15" s="4" t="inlineStr">
        <is>
          <t xml:space="preserve">resistor 10k ohm 1 % (0603)</t>
        </is>
      </c>
      <c r="F15" s="0" t="inlineStr">
        <is>
          <t xml:space="preserve">UNI-ROYAL(Uniroyal Elec)</t>
        </is>
      </c>
      <c r="G15" s="0" t="inlineStr">
        <is>
          <t xml:space="preserve">0603WAF1002T5E</t>
        </is>
      </c>
      <c r="H15" s="0" t="inlineStr">
        <is>
          <t xml:space="preserve">C25804</t>
        </is>
      </c>
      <c r="I15" s="0" t="inlineStr">
        <is>
          <t xml:space="preserve">Basic</t>
        </is>
      </c>
      <c r="J15" s="3">
        <v>0.0018</v>
      </c>
      <c r="K15" s="2">
        <f>D15*J15</f>
      </c>
      <c r="L15" s="10">
        <v>23109251</v>
      </c>
      <c r="M15" s="0" t="inlineStr">
        <is>
          <t xml:space="preserve">0603</t>
        </is>
      </c>
      <c r="N15" s="0" t="inlineStr">
        <is>
          <t xml:space="preserve">bottom/top</t>
        </is>
      </c>
      <c r="O15" s="0" t="inlineStr">
        <is>
          <t xml:space="preserve">JLC</t>
        </is>
      </c>
      <c r="P15" s="5">
        <f>HYPERLINK("https://jlcpcb.com/partdetail/26547-0603WAF1002T5E/C25804","JLC")</f>
      </c>
      <c r="Q15" s="5">
        <f>HYPERLINK("https://www.lcsc.com/product-detail/chip-resistor-surface-mount_uni-royal-uniroyal-elec-0603waf1002t5e_C25804.html","LCSC")</f>
      </c>
      <c r="R15" s="5">
        <f>HYPERLINK("https://www.lcsc.com/datasheet/lcsc_datasheet_2206010045_UNI-ROYAL-Uniroyal-Elec-0603WAF1002T5E_C25804.pdf","PDF")</f>
      </c>
      <c r="S15" s="0" t="inlineStr">
        <is>
          <t xml:space="preserve">10k</t>
        </is>
      </c>
      <c r="T15" s="4" t="inlineStr">
        <is>
          <t xml:space="preserve">-55℃~+155℃ 100mW 10kΩ 75V Thick Film Resistor ±1% ±100ppm/℃ 0603 Chip Resistor - Surface Mount ROHS</t>
        </is>
      </c>
      <c r="U15" s="11" t="inlineStr">
        <is>
          <t xml:space="preserve">value and package from the schematic; 1% thick film, JLC Basic where one exists</t>
        </is>
      </c>
    </row>
    <row r="16">
      <c r="A16" s="10">
        <v>15</v>
      </c>
      <c r="B16" s="4" t="inlineStr">
        <is>
          <t xml:space="preserve">R3 R32 R40</t>
        </is>
      </c>
      <c r="C16" s="10">
        <v>3</v>
      </c>
      <c r="D16" s="10">
        <f>C16*2+20</f>
      </c>
      <c r="E16" s="4" t="inlineStr">
        <is>
          <t xml:space="preserve">resistor 620k ohm 1 % (0603)</t>
        </is>
      </c>
      <c r="F16" s="0" t="inlineStr">
        <is>
          <t xml:space="preserve">UNI-ROYAL(Uniroyal Elec)</t>
        </is>
      </c>
      <c r="G16" s="0" t="inlineStr">
        <is>
          <t xml:space="preserve">0603WAF6203T5E</t>
        </is>
      </c>
      <c r="H16" s="0" t="inlineStr">
        <is>
          <t xml:space="preserve">C23219</t>
        </is>
      </c>
      <c r="I16" s="0" t="inlineStr">
        <is>
          <t xml:space="preserve">Extended</t>
        </is>
      </c>
      <c r="J16" s="3">
        <v>0.002</v>
      </c>
      <c r="K16" s="2">
        <f>D16*J16</f>
      </c>
      <c r="L16" s="10">
        <v>93537</v>
      </c>
      <c r="M16" s="0" t="inlineStr">
        <is>
          <t xml:space="preserve">0603</t>
        </is>
      </c>
      <c r="N16" s="0" t="inlineStr">
        <is>
          <t xml:space="preserve">bottom/top</t>
        </is>
      </c>
      <c r="O16" s="0" t="inlineStr">
        <is>
          <t xml:space="preserve">JLC</t>
        </is>
      </c>
      <c r="P16" s="5">
        <f>HYPERLINK("https://jlcpcb.com/partdetail/23946-0603WAF6203T5E/C23219","JLC")</f>
      </c>
      <c r="Q16" s="5">
        <f>HYPERLINK("https://www.lcsc.com/product-detail/chip-resistor-surface-mount_uni-royal-uniroyal-elec-0603waf6203t5e_C23219.html","LCSC")</f>
      </c>
      <c r="R16" s="5">
        <f>HYPERLINK("https://www.lcsc.com/datasheet/lcsc_datasheet_2206010116_UNI-ROYAL-Uniroyal-Elec-0603WAF6203T5E_C23219.pdf","PDF")</f>
      </c>
      <c r="S16" s="0" t="inlineStr">
        <is>
          <t xml:space="preserve">620k</t>
        </is>
      </c>
      <c r="T16" s="4" t="inlineStr">
        <is>
          <t xml:space="preserve">-55℃~+155℃ 100mW 620kΩ 75V Thick Film Resistor ±1% ±100ppm/℃ 0603 Chip Resistor - Surface Mount ROHS</t>
        </is>
      </c>
      <c r="U16" s="11" t="inlineStr">
        <is>
          <t xml:space="preserve">value and package from the schematic; 1% thick film, JLC Basic where one exists</t>
        </is>
      </c>
    </row>
    <row r="17">
      <c r="A17" s="10">
        <v>16</v>
      </c>
      <c r="B17" s="4" t="inlineStr">
        <is>
          <t xml:space="preserve">R4 R54 R55 R58 R71 R99 R102</t>
        </is>
      </c>
      <c r="C17" s="10">
        <v>7</v>
      </c>
      <c r="D17" s="10">
        <f>C17*2+20</f>
      </c>
      <c r="E17" s="4" t="inlineStr">
        <is>
          <t xml:space="preserve">resistor 1k ohm 1 % (0603)</t>
        </is>
      </c>
      <c r="F17" s="0" t="inlineStr">
        <is>
          <t xml:space="preserve">UNI-ROYAL(Uniroyal Elec)</t>
        </is>
      </c>
      <c r="G17" s="0" t="inlineStr">
        <is>
          <t xml:space="preserve">0603WAF1001T5E</t>
        </is>
      </c>
      <c r="H17" s="0" t="inlineStr">
        <is>
          <t xml:space="preserve">C21190</t>
        </is>
      </c>
      <c r="I17" s="0" t="inlineStr">
        <is>
          <t xml:space="preserve">Basic</t>
        </is>
      </c>
      <c r="J17" s="3">
        <v>0.0026</v>
      </c>
      <c r="K17" s="2">
        <f>D17*J17</f>
      </c>
      <c r="L17" s="10">
        <v>21672207</v>
      </c>
      <c r="M17" s="0" t="inlineStr">
        <is>
          <t xml:space="preserve">0603</t>
        </is>
      </c>
      <c r="N17" s="0" t="inlineStr">
        <is>
          <t xml:space="preserve">bottom/top</t>
        </is>
      </c>
      <c r="O17" s="0" t="inlineStr">
        <is>
          <t xml:space="preserve">JLC</t>
        </is>
      </c>
      <c r="P17" s="5">
        <f>HYPERLINK("https://jlcpcb.com/partdetail/21904-0603WAF1001T5E/C21190","JLC")</f>
      </c>
      <c r="Q17" s="5">
        <f>HYPERLINK("https://www.lcsc.com/product-detail/chip-resistor-surface-mount_uni-royal-uniroyal-elec-0603waf1001t5e_C21190.html","LCSC")</f>
      </c>
      <c r="R17" s="5">
        <f>HYPERLINK("https://www.lcsc.com/datasheet/lcsc_datasheet_2206010130_UNI-ROYAL-Uniroyal-Elec-0603WAF1001T5E_C21190.pdf","PDF")</f>
      </c>
      <c r="S17" s="0" t="inlineStr">
        <is>
          <t xml:space="preserve">1k</t>
        </is>
      </c>
      <c r="T17" s="4" t="inlineStr">
        <is>
          <t xml:space="preserve">-55℃~+155℃ 100mW 1kΩ 75V Thick Film Resistor ±1% ±100ppm/℃ 0603 Chip Resistor - Surface Mount ROHS</t>
        </is>
      </c>
      <c r="U17" s="11" t="inlineStr">
        <is>
          <t xml:space="preserve">value and package from the schematic; 1% thick film, JLC Basic where one exists</t>
        </is>
      </c>
    </row>
    <row r="18">
      <c r="A18" s="10">
        <v>17</v>
      </c>
      <c r="B18" s="4" t="inlineStr">
        <is>
          <t xml:space="preserve">R8 R34 R42 R51 R63 R78 R80</t>
        </is>
      </c>
      <c r="C18" s="10">
        <v>7</v>
      </c>
      <c r="D18" s="10">
        <f>C18*2+20</f>
      </c>
      <c r="E18" s="4" t="inlineStr">
        <is>
          <t xml:space="preserve">resistor 2k ohm 1 % (0603)</t>
        </is>
      </c>
      <c r="F18" s="0" t="inlineStr">
        <is>
          <t xml:space="preserve">UNI-ROYAL(Uniroyal Elec)</t>
        </is>
      </c>
      <c r="G18" s="0" t="inlineStr">
        <is>
          <t xml:space="preserve">0603WAF2001T5E</t>
        </is>
      </c>
      <c r="H18" s="0" t="inlineStr">
        <is>
          <t xml:space="preserve">C22975</t>
        </is>
      </c>
      <c r="I18" s="0" t="inlineStr">
        <is>
          <t xml:space="preserve">Basic</t>
        </is>
      </c>
      <c r="J18" s="3">
        <v>0.0024</v>
      </c>
      <c r="K18" s="2">
        <f>D18*J18</f>
      </c>
      <c r="L18" s="10">
        <v>13572776</v>
      </c>
      <c r="M18" s="0" t="inlineStr">
        <is>
          <t xml:space="preserve">0603</t>
        </is>
      </c>
      <c r="N18" s="0" t="inlineStr">
        <is>
          <t xml:space="preserve">bottom/top</t>
        </is>
      </c>
      <c r="O18" s="0" t="inlineStr">
        <is>
          <t xml:space="preserve">JLC</t>
        </is>
      </c>
      <c r="P18" s="5">
        <f>HYPERLINK("https://jlcpcb.com/partdetail/23702-0603WAF2001T5E/C22975","JLC")</f>
      </c>
      <c r="Q18" s="5">
        <f>HYPERLINK("https://www.lcsc.com/product-detail/chip-resistor-surface-mount_uni-royal-uniroyal-elec-0603waf2001t5e_C22975.html","LCSC")</f>
      </c>
      <c r="R18" s="5">
        <f>HYPERLINK("https://www.lcsc.com/datasheet/lcsc_datasheet_2206010116_UNI-ROYAL-Uniroyal-Elec-0603WAF2001T5E_C22975.pdf","PDF")</f>
      </c>
      <c r="S18" s="0" t="inlineStr">
        <is>
          <t xml:space="preserve">2k</t>
        </is>
      </c>
      <c r="T18" s="4" t="inlineStr">
        <is>
          <t xml:space="preserve">-55℃~+155℃ 100mW 2kΩ 75V Thick Film Resistor ±1% ±100ppm/℃ 0603 Chip Resistor - Surface Mount ROHS</t>
        </is>
      </c>
      <c r="U18" s="11" t="inlineStr">
        <is>
          <t xml:space="preserve">value and package from the schematic; 1% thick film, JLC Basic where one exists</t>
        </is>
      </c>
    </row>
    <row r="19">
      <c r="A19" s="10">
        <v>18</v>
      </c>
      <c r="B19" s="4" t="inlineStr">
        <is>
          <t xml:space="preserve">R9 R35 R43</t>
        </is>
      </c>
      <c r="C19" s="10">
        <v>3</v>
      </c>
      <c r="D19" s="10">
        <f>C19*2+20</f>
      </c>
      <c r="E19" s="4" t="inlineStr">
        <is>
          <t xml:space="preserve">resistor 18k ohm 1 % (0805)</t>
        </is>
      </c>
      <c r="F19" s="0" t="inlineStr">
        <is>
          <t xml:space="preserve">UNI-ROYAL(Uniroyal Elec)</t>
        </is>
      </c>
      <c r="G19" s="0" t="inlineStr">
        <is>
          <t xml:space="preserve">0805W8F1802T5E</t>
        </is>
      </c>
      <c r="H19" s="0" t="inlineStr">
        <is>
          <t xml:space="preserve">C17506</t>
        </is>
      </c>
      <c r="I19" s="0" t="inlineStr">
        <is>
          <t xml:space="preserve">Extended (preferred)</t>
        </is>
      </c>
      <c r="J19" s="3">
        <v>0.0043</v>
      </c>
      <c r="K19" s="2">
        <f>D19*J19</f>
      </c>
      <c r="L19" s="10">
        <v>194888</v>
      </c>
      <c r="M19" s="0" t="inlineStr">
        <is>
          <t xml:space="preserve">0805</t>
        </is>
      </c>
      <c r="N19" s="0" t="inlineStr">
        <is>
          <t xml:space="preserve">bottom/top</t>
        </is>
      </c>
      <c r="O19" s="0" t="inlineStr">
        <is>
          <t xml:space="preserve">JLC</t>
        </is>
      </c>
      <c r="P19" s="5">
        <f>HYPERLINK("https://jlcpcb.com/partdetail/18194-0805W8F1802T5E/C17506","JLC")</f>
      </c>
      <c r="Q19" s="5">
        <f>HYPERLINK("https://www.lcsc.com/product-detail/chip-resistor-surface-mount_uni-royal-uniroyal-elec-0805w8f1802t5e_C17506.html","LCSC")</f>
      </c>
      <c r="R19" s="5">
        <f>HYPERLINK("https://www.lcsc.com/datasheet/lcsc_datasheet_2206010216_UNI-ROYAL-Uniroyal-Elec-0805W8F1802T5E_C17506.pdf","PDF")</f>
      </c>
      <c r="S19" s="0" t="inlineStr">
        <is>
          <t xml:space="preserve">18k</t>
        </is>
      </c>
      <c r="T19" s="4" t="inlineStr">
        <is>
          <t xml:space="preserve">-55℃~+155℃ 125mW 150V 18kΩ Thick Film Resistor ±1% ±100ppm/℃ 0805 Chip Resistor - Surface Mount ROHS</t>
        </is>
      </c>
      <c r="U19" s="11" t="inlineStr">
        <is>
          <t xml:space="preserve">value and package from the schematic; 1% thick film, JLC Basic where one exists</t>
        </is>
      </c>
    </row>
    <row r="20">
      <c r="A20" s="10">
        <v>19</v>
      </c>
      <c r="B20" s="4" t="inlineStr">
        <is>
          <t xml:space="preserve">R11 R17</t>
        </is>
      </c>
      <c r="C20" s="10">
        <v>2</v>
      </c>
      <c r="D20" s="10">
        <f>C20*2+20</f>
      </c>
      <c r="E20" s="4" t="inlineStr">
        <is>
          <t xml:space="preserve">resistor 510k ohm 1 % (0603)</t>
        </is>
      </c>
      <c r="F20" s="0" t="inlineStr">
        <is>
          <t xml:space="preserve">UNI-ROYAL(Uniroyal Elec)</t>
        </is>
      </c>
      <c r="G20" s="0" t="inlineStr">
        <is>
          <t xml:space="preserve">0603WAF5103T5E</t>
        </is>
      </c>
      <c r="H20" s="0" t="inlineStr">
        <is>
          <t xml:space="preserve">C23192</t>
        </is>
      </c>
      <c r="I20" s="0" t="inlineStr">
        <is>
          <t xml:space="preserve">Basic</t>
        </is>
      </c>
      <c r="J20" s="3">
        <v>0.0024</v>
      </c>
      <c r="K20" s="2">
        <f>D20*J20</f>
      </c>
      <c r="L20" s="10">
        <v>894332</v>
      </c>
      <c r="M20" s="0" t="inlineStr">
        <is>
          <t xml:space="preserve">0603</t>
        </is>
      </c>
      <c r="N20" s="0" t="inlineStr">
        <is>
          <t xml:space="preserve">bottom</t>
        </is>
      </c>
      <c r="O20" s="0" t="inlineStr">
        <is>
          <t xml:space="preserve">JLC</t>
        </is>
      </c>
      <c r="P20" s="5">
        <f>HYPERLINK("https://jlcpcb.com/partdetail/23919-0603WAF5103T5E/C23192","JLC")</f>
      </c>
      <c r="Q20" s="5">
        <f>HYPERLINK("https://www.lcsc.com/product-detail/chip-resistor-surface-mount_uni-royal-uniroyal-elec-0603waf5103t5e_C23192.html","LCSC")</f>
      </c>
      <c r="R20" s="5">
        <f>HYPERLINK("https://www.lcsc.com/datasheet/lcsc_datasheet_2206010116_UNI-ROYAL-Uniroyal-Elec-0603WAF5103T5E_C23192.pdf","PDF")</f>
      </c>
      <c r="S20" s="0" t="inlineStr">
        <is>
          <t xml:space="preserve">510k</t>
        </is>
      </c>
      <c r="T20" s="4" t="inlineStr">
        <is>
          <t xml:space="preserve">-55℃~+155℃ 100mW 510kΩ 75V Thick Film Resistor ±1% ±100ppm/℃ 0603 Chip Resistor - Surface Mount ROHS</t>
        </is>
      </c>
      <c r="U20" s="11" t="inlineStr">
        <is>
          <t xml:space="preserve">value and package from the schematic; 1% thick film, JLC Basic where one exists</t>
        </is>
      </c>
    </row>
    <row r="21">
      <c r="A21" s="10">
        <v>20</v>
      </c>
      <c r="B21" s="4" t="inlineStr">
        <is>
          <t xml:space="preserve">R16 R19</t>
        </is>
      </c>
      <c r="C21" s="10">
        <v>2</v>
      </c>
      <c r="D21" s="10">
        <f>C21*2+20</f>
      </c>
      <c r="E21" s="4" t="inlineStr">
        <is>
          <t xml:space="preserve">resistor 5.1k ohm 1 % (0603)</t>
        </is>
      </c>
      <c r="F21" s="0" t="inlineStr">
        <is>
          <t xml:space="preserve">UNI-ROYAL(Uniroyal Elec)</t>
        </is>
      </c>
      <c r="G21" s="0" t="inlineStr">
        <is>
          <t xml:space="preserve">0603WAF5101T5E</t>
        </is>
      </c>
      <c r="H21" s="0" t="inlineStr">
        <is>
          <t xml:space="preserve">C23186</t>
        </is>
      </c>
      <c r="I21" s="0" t="inlineStr">
        <is>
          <t xml:space="preserve">Basic</t>
        </is>
      </c>
      <c r="J21" s="3">
        <v>0.0015</v>
      </c>
      <c r="K21" s="2">
        <f>D21*J21</f>
      </c>
      <c r="L21" s="10">
        <v>25280385</v>
      </c>
      <c r="M21" s="0" t="inlineStr">
        <is>
          <t xml:space="preserve">0603</t>
        </is>
      </c>
      <c r="N21" s="0" t="inlineStr">
        <is>
          <t xml:space="preserve">bottom/top</t>
        </is>
      </c>
      <c r="O21" s="0" t="inlineStr">
        <is>
          <t xml:space="preserve">JLC</t>
        </is>
      </c>
      <c r="P21" s="5">
        <f>HYPERLINK("https://jlcpcb.com/partdetail/23913-0603WAF5101T5E/C23186","JLC")</f>
      </c>
      <c r="Q21" s="5">
        <f>HYPERLINK("https://www.lcsc.com/product-detail/chip-resistor-surface-mount_uni-royal-uniroyal-elec-0603waf5101t5e_C23186.html","LCSC")</f>
      </c>
      <c r="R21" s="5">
        <f>HYPERLINK("https://www.lcsc.com/datasheet/lcsc_datasheet_2206010116_UNI-ROYAL-Uniroyal-Elec-0603WAF5101T5E_C23186.pdf","PDF")</f>
      </c>
      <c r="S21" s="0" t="inlineStr">
        <is>
          <t xml:space="preserve">5.1k</t>
        </is>
      </c>
      <c r="T21" s="4" t="inlineStr">
        <is>
          <t xml:space="preserve">-55℃~+155℃ 100mW 5.1kΩ 75V Thick Film Resistor ±1% ±100ppm/℃ 0603 Chip Resistor - Surface Mount ROHS</t>
        </is>
      </c>
      <c r="U21" s="11" t="inlineStr">
        <is>
          <t xml:space="preserve">value and package from the schematic; 1% thick film, JLC Basic where one exists</t>
        </is>
      </c>
    </row>
    <row r="22">
      <c r="A22" s="10">
        <v>21</v>
      </c>
      <c r="B22" s="4" t="inlineStr">
        <is>
          <t xml:space="preserve">R18 R20</t>
        </is>
      </c>
      <c r="C22" s="10">
        <v>2</v>
      </c>
      <c r="D22" s="10">
        <f>C22*2+20</f>
      </c>
      <c r="E22" s="4" t="inlineStr">
        <is>
          <t xml:space="preserve">resistor 200k ohm 1 % (0603)</t>
        </is>
      </c>
      <c r="F22" s="0" t="inlineStr">
        <is>
          <t xml:space="preserve">UNI-ROYAL(Uniroyal Elec)</t>
        </is>
      </c>
      <c r="G22" s="0" t="inlineStr">
        <is>
          <t xml:space="preserve">0603WAF2003T5E</t>
        </is>
      </c>
      <c r="H22" s="0" t="inlineStr">
        <is>
          <t xml:space="preserve">C25811</t>
        </is>
      </c>
      <c r="I22" s="0" t="inlineStr">
        <is>
          <t xml:space="preserve">Basic</t>
        </is>
      </c>
      <c r="J22" s="3">
        <v>0.0023</v>
      </c>
      <c r="K22" s="2">
        <f>D22*J22</f>
      </c>
      <c r="L22" s="10">
        <v>2473796</v>
      </c>
      <c r="M22" s="0" t="inlineStr">
        <is>
          <t xml:space="preserve">0603</t>
        </is>
      </c>
      <c r="N22" s="0" t="inlineStr">
        <is>
          <t xml:space="preserve">bottom</t>
        </is>
      </c>
      <c r="O22" s="0" t="inlineStr">
        <is>
          <t xml:space="preserve">JLC</t>
        </is>
      </c>
      <c r="P22" s="5">
        <f>HYPERLINK("https://jlcpcb.com/partdetail/26554-0603WAF2003T5E/C25811","JLC")</f>
      </c>
      <c r="Q22" s="5">
        <f>HYPERLINK("https://www.lcsc.com/product-detail/chip-resistor-surface-mount_uni-royal-uniroyal-elec-0603waf2003t5e_C25811.html","LCSC")</f>
      </c>
      <c r="R22" s="5">
        <f>HYPERLINK("https://www.lcsc.com/datasheet/lcsc_datasheet_2206010045_UNI-ROYAL-Uniroyal-Elec-0603WAF2003T5E_C25811.pdf","PDF")</f>
      </c>
      <c r="S22" s="0" t="inlineStr">
        <is>
          <t xml:space="preserve">200k</t>
        </is>
      </c>
      <c r="T22" s="4" t="inlineStr">
        <is>
          <t xml:space="preserve">-55℃~+155℃ 100mW 200kΩ 75V Thick Film Resistor ±1% ±100ppm/℃ 0603 Chip Resistor - Surface Mount ROHS</t>
        </is>
      </c>
      <c r="U22" s="11" t="inlineStr">
        <is>
          <t xml:space="preserve">value and package from the schematic; 1% thick film, JLC Basic where one exists</t>
        </is>
      </c>
    </row>
    <row r="23">
      <c r="A23" s="10">
        <v>22</v>
      </c>
      <c r="B23" s="4" t="inlineStr">
        <is>
          <t xml:space="preserve">R25 R87 R94</t>
        </is>
      </c>
      <c r="C23" s="10">
        <v>3</v>
      </c>
      <c r="D23" s="10">
        <f>C23*2+20</f>
      </c>
      <c r="E23" s="4" t="inlineStr">
        <is>
          <t xml:space="preserve">resistor 910k ohm 1 % (0805)</t>
        </is>
      </c>
      <c r="F23" s="0" t="inlineStr">
        <is>
          <t xml:space="preserve">UNI-ROYAL(Uniroyal Elec)</t>
        </is>
      </c>
      <c r="G23" s="0" t="inlineStr">
        <is>
          <t xml:space="preserve">0805W8F9103T5E</t>
        </is>
      </c>
      <c r="H23" s="0" t="inlineStr">
        <is>
          <t xml:space="preserve">C17864</t>
        </is>
      </c>
      <c r="I23" s="0" t="inlineStr">
        <is>
          <t xml:space="preserve">Extended</t>
        </is>
      </c>
      <c r="J23" s="3">
        <v>0.0034</v>
      </c>
      <c r="K23" s="2">
        <f>D23*J23</f>
      </c>
      <c r="L23" s="10">
        <v>15984</v>
      </c>
      <c r="M23" s="0" t="inlineStr">
        <is>
          <t xml:space="preserve">0805</t>
        </is>
      </c>
      <c r="N23" s="0" t="inlineStr">
        <is>
          <t xml:space="preserve">bottom/top</t>
        </is>
      </c>
      <c r="O23" s="0" t="inlineStr">
        <is>
          <t xml:space="preserve">JLC</t>
        </is>
      </c>
      <c r="P23" s="5">
        <f>HYPERLINK("https://jlcpcb.com/partdetail/18552-0805W8F9103T5E/C17864","JLC")</f>
      </c>
      <c r="Q23" s="5">
        <f>HYPERLINK("https://www.lcsc.com/product-detail/chip-resistor-surface-mount_uni-royal-uniroyal-elec-0805w8f9103t5e_C17864.html","LCSC")</f>
      </c>
      <c r="R23" s="5">
        <f>HYPERLINK("https://www.lcsc.com/datasheet/lcsc_datasheet_2206010200_UNI-ROYAL-Uniroyal-Elec-0805W8F9103T5E_C17864.pdf","PDF")</f>
      </c>
      <c r="S23" s="0" t="inlineStr">
        <is>
          <t xml:space="preserve">910k</t>
        </is>
      </c>
      <c r="T23" s="4" t="inlineStr">
        <is>
          <t xml:space="preserve">-55℃~+155℃ 125mW 150V 910kΩ Thick Film Resistor ±1% ±100ppm/℃ 0805 Chip Resistor - Surface Mount ROHS</t>
        </is>
      </c>
      <c r="U23" s="11" t="inlineStr">
        <is>
          <t xml:space="preserve">value and package from the schematic; 1% thick film, JLC Basic where one exists; Vout dividers: 150 V rated</t>
        </is>
      </c>
    </row>
    <row r="24">
      <c r="A24" s="10">
        <v>23</v>
      </c>
      <c r="B24" s="4" t="inlineStr">
        <is>
          <t xml:space="preserve">R26 R64 R79 R81</t>
        </is>
      </c>
      <c r="C24" s="10">
        <v>4</v>
      </c>
      <c r="D24" s="10">
        <f>C24*2+20</f>
      </c>
      <c r="E24" s="4" t="inlineStr">
        <is>
          <t xml:space="preserve">resistor 220 ohm 1 % (0603)</t>
        </is>
      </c>
      <c r="F24" s="0" t="inlineStr">
        <is>
          <t xml:space="preserve">UNI-ROYAL(Uniroyal Elec)</t>
        </is>
      </c>
      <c r="G24" s="0" t="inlineStr">
        <is>
          <t xml:space="preserve">0603WAF2200T5E</t>
        </is>
      </c>
      <c r="H24" s="0" t="inlineStr">
        <is>
          <t xml:space="preserve">C22962</t>
        </is>
      </c>
      <c r="I24" s="0" t="inlineStr">
        <is>
          <t xml:space="preserve">Basic</t>
        </is>
      </c>
      <c r="J24" s="3">
        <v>0.0035</v>
      </c>
      <c r="K24" s="2">
        <f>D24*J24</f>
      </c>
      <c r="L24" s="10">
        <v>1903983</v>
      </c>
      <c r="M24" s="0" t="inlineStr">
        <is>
          <t xml:space="preserve">0603</t>
        </is>
      </c>
      <c r="N24" s="0" t="inlineStr">
        <is>
          <t xml:space="preserve">bottom/top</t>
        </is>
      </c>
      <c r="O24" s="0" t="inlineStr">
        <is>
          <t xml:space="preserve">JLC</t>
        </is>
      </c>
      <c r="P24" s="5">
        <f>HYPERLINK("https://jlcpcb.com/partdetail/23689-0603WAF2200T5E/C22962","JLC")</f>
      </c>
      <c r="Q24" s="5">
        <f>HYPERLINK("https://www.lcsc.com/product-detail/chip-resistor-surface-mount_uni-royal-uniroyal-elec-0603waf2200t5e_C22962.html","LCSC")</f>
      </c>
      <c r="R24" s="5">
        <f>HYPERLINK("https://www.lcsc.com/datasheet/lcsc_datasheet_2206010130_UNI-ROYAL-Uniroyal-Elec-0603WAF2200T5E_C22962.pdf","PDF")</f>
      </c>
      <c r="S24" s="0" t="inlineStr">
        <is>
          <t xml:space="preserve">220</t>
        </is>
      </c>
      <c r="T24" s="4" t="inlineStr">
        <is>
          <t xml:space="preserve">-55℃~+155℃ 100mW 220Ω 75V Thick Film Resistor ±1% ±100ppm/℃ 0603 Chip Resistor - Surface Mount ROHS</t>
        </is>
      </c>
      <c r="U24" s="11" t="inlineStr">
        <is>
          <t xml:space="preserve">value and package from the schematic; 1% thick film, JLC Basic where one exists</t>
        </is>
      </c>
    </row>
    <row r="25">
      <c r="A25" s="10">
        <v>24</v>
      </c>
      <c r="B25" s="4" t="inlineStr">
        <is>
          <t xml:space="preserve">R27 R37 R45 R106 R107</t>
        </is>
      </c>
      <c r="C25" s="10">
        <v>5</v>
      </c>
      <c r="D25" s="10">
        <f>C25*2+20</f>
      </c>
      <c r="E25" s="4" t="inlineStr">
        <is>
          <t xml:space="preserve">resistor 4.7k ohm 1 % (0603)</t>
        </is>
      </c>
      <c r="F25" s="0" t="inlineStr">
        <is>
          <t xml:space="preserve">UNI-ROYAL(Uniroyal Elec)</t>
        </is>
      </c>
      <c r="G25" s="0" t="inlineStr">
        <is>
          <t xml:space="preserve">0603WAF4701T5E</t>
        </is>
      </c>
      <c r="H25" s="0" t="inlineStr">
        <is>
          <t xml:space="preserve">C23162</t>
        </is>
      </c>
      <c r="I25" s="0" t="inlineStr">
        <is>
          <t xml:space="preserve">Basic</t>
        </is>
      </c>
      <c r="J25" s="3">
        <v>0.0028</v>
      </c>
      <c r="K25" s="2">
        <f>D25*J25</f>
      </c>
      <c r="L25" s="10">
        <v>22492816</v>
      </c>
      <c r="M25" s="0" t="inlineStr">
        <is>
          <t xml:space="preserve">0603</t>
        </is>
      </c>
      <c r="N25" s="0" t="inlineStr">
        <is>
          <t xml:space="preserve">bottom/top</t>
        </is>
      </c>
      <c r="O25" s="0" t="inlineStr">
        <is>
          <t xml:space="preserve">JLC</t>
        </is>
      </c>
      <c r="P25" s="5">
        <f>HYPERLINK("https://jlcpcb.com/partdetail/23889-0603WAF4701T5E/C23162","JLC")</f>
      </c>
      <c r="Q25" s="5">
        <f>HYPERLINK("https://www.lcsc.com/product-detail/chip-resistor-surface-mount_uni-royal-uniroyal-elec-0603waf4701t5e_C23162.html","LCSC")</f>
      </c>
      <c r="R25" s="5">
        <f>HYPERLINK("https://www.lcsc.com/datasheet/lcsc_datasheet_2206010116_UNI-ROYAL-Uniroyal-Elec-0603WAF4701T5E_C23162.pdf","PDF")</f>
      </c>
      <c r="S25" s="0" t="inlineStr">
        <is>
          <t xml:space="preserve">4.7k</t>
        </is>
      </c>
      <c r="T25" s="4" t="inlineStr">
        <is>
          <t xml:space="preserve">-55℃~+155℃ 100mW 4.7kΩ 75V Thick Film Resistor ±1% ±100ppm/℃ 0603 Chip Resistor - Surface Mount ROHS</t>
        </is>
      </c>
      <c r="U25" s="11" t="inlineStr">
        <is>
          <t xml:space="preserve">value and package from the schematic; 1% thick film, JLC Basic where one exists</t>
        </is>
      </c>
    </row>
    <row r="26">
      <c r="A26" s="10">
        <v>25</v>
      </c>
      <c r="B26" s="4" t="inlineStr">
        <is>
          <t xml:space="preserve">R28 R36 R38 R44 R46 R88 R91 R95 R96 R105</t>
        </is>
      </c>
      <c r="C26" s="10">
        <v>10</v>
      </c>
      <c r="D26" s="10">
        <f>C26*2+20</f>
      </c>
      <c r="E26" s="4" t="inlineStr">
        <is>
          <t xml:space="preserve">resistor 100k ohm 1 % (0603)</t>
        </is>
      </c>
      <c r="F26" s="0" t="inlineStr">
        <is>
          <t xml:space="preserve">UNI-ROYAL(Uniroyal Elec)</t>
        </is>
      </c>
      <c r="G26" s="0" t="inlineStr">
        <is>
          <t xml:space="preserve">0603WAF1003T5E</t>
        </is>
      </c>
      <c r="H26" s="0" t="inlineStr">
        <is>
          <t xml:space="preserve">C25803</t>
        </is>
      </c>
      <c r="I26" s="0" t="inlineStr">
        <is>
          <t xml:space="preserve">Basic</t>
        </is>
      </c>
      <c r="J26" s="3">
        <v>0.0031</v>
      </c>
      <c r="K26" s="2">
        <f>D26*J26</f>
      </c>
      <c r="L26" s="10">
        <v>22167984</v>
      </c>
      <c r="M26" s="0" t="inlineStr">
        <is>
          <t xml:space="preserve">0603</t>
        </is>
      </c>
      <c r="N26" s="0" t="inlineStr">
        <is>
          <t xml:space="preserve">bottom/top</t>
        </is>
      </c>
      <c r="O26" s="0" t="inlineStr">
        <is>
          <t xml:space="preserve">JLC</t>
        </is>
      </c>
      <c r="P26" s="5">
        <f>HYPERLINK("https://jlcpcb.com/partdetail/26546-0603WAF1003T5E/C25803","JLC")</f>
      </c>
      <c r="Q26" s="5">
        <f>HYPERLINK("https://www.lcsc.com/product-detail/chip-resistor-surface-mount_uni-royal-uniroyal-elec-0603waf1003t5e_C25803.html","LCSC")</f>
      </c>
      <c r="R26" s="5">
        <f>HYPERLINK("https://www.lcsc.com/datasheet/lcsc_datasheet_2206010045_UNI-ROYAL-Uniroyal-Elec-0603WAF1003T5E_C25803.pdf","PDF")</f>
      </c>
      <c r="S26" s="0" t="inlineStr">
        <is>
          <t xml:space="preserve">100k</t>
        </is>
      </c>
      <c r="T26" s="4" t="inlineStr">
        <is>
          <t xml:space="preserve">-55℃~+155℃ 100kΩ 100mW 75V Thick Film Resistor ±1% ±100ppm/℃ 0603 Chip Resistor - Surface Mount ROHS</t>
        </is>
      </c>
      <c r="U26" s="11" t="inlineStr">
        <is>
          <t xml:space="preserve">value and package from the schematic; 1% thick film, JLC Basic where one exists</t>
        </is>
      </c>
    </row>
    <row r="27">
      <c r="A27" s="10">
        <v>26</v>
      </c>
      <c r="B27" s="4" t="inlineStr">
        <is>
          <t xml:space="preserve">R29 R30 R57</t>
        </is>
      </c>
      <c r="C27" s="10">
        <v>3</v>
      </c>
      <c r="D27" s="10">
        <f>C27*2+20</f>
      </c>
      <c r="E27" s="4" t="inlineStr">
        <is>
          <t xml:space="preserve">resistor 22k ohm 1 % (0805)</t>
        </is>
      </c>
      <c r="F27" s="0" t="inlineStr">
        <is>
          <t xml:space="preserve">UNI-ROYAL(Uniroyal Elec)</t>
        </is>
      </c>
      <c r="G27" s="0" t="inlineStr">
        <is>
          <t xml:space="preserve">0805W8F2202T5E</t>
        </is>
      </c>
      <c r="H27" s="0" t="inlineStr">
        <is>
          <t xml:space="preserve">C17560</t>
        </is>
      </c>
      <c r="I27" s="0" t="inlineStr">
        <is>
          <t xml:space="preserve">Basic</t>
        </is>
      </c>
      <c r="J27" s="3">
        <v>0.0048</v>
      </c>
      <c r="K27" s="2">
        <f>D27*J27</f>
      </c>
      <c r="L27" s="10">
        <v>1746324</v>
      </c>
      <c r="M27" s="0" t="inlineStr">
        <is>
          <t xml:space="preserve">0805</t>
        </is>
      </c>
      <c r="N27" s="0" t="inlineStr">
        <is>
          <t xml:space="preserve">top</t>
        </is>
      </c>
      <c r="O27" s="0" t="inlineStr">
        <is>
          <t xml:space="preserve">JLC</t>
        </is>
      </c>
      <c r="P27" s="5">
        <f>HYPERLINK("https://jlcpcb.com/partdetail/18248-0805W8F2202T5E/C17560","JLC")</f>
      </c>
      <c r="Q27" s="5">
        <f>HYPERLINK("https://www.lcsc.com/product-detail/chip-resistor-surface-mount_uni-royal-uniroyal-elec-0805w8f2202t5e_C17560.html","LCSC")</f>
      </c>
      <c r="R27" s="5">
        <f>HYPERLINK("https://www.lcsc.com/datasheet/lcsc_datasheet_2206010200_UNI-ROYAL-Uniroyal-Elec-0805W8F2202T5E_C17560.pdf","PDF")</f>
      </c>
      <c r="S27" s="0" t="inlineStr">
        <is>
          <t xml:space="preserve">22k</t>
        </is>
      </c>
      <c r="T27" s="4" t="inlineStr">
        <is>
          <t xml:space="preserve">-55℃~+155℃ 125mW 150V 22kΩ Thick Film Resistor ±1% ±100ppm/℃ 0805 Chip Resistor - Surface Mount ROHS</t>
        </is>
      </c>
      <c r="U27" s="11" t="inlineStr">
        <is>
          <t xml:space="preserve">value and package from the schematic; 1% thick film, JLC Basic where one exists</t>
        </is>
      </c>
    </row>
    <row r="28">
      <c r="A28" s="10">
        <v>27</v>
      </c>
      <c r="B28" s="4" t="inlineStr">
        <is>
          <t xml:space="preserve">R65</t>
        </is>
      </c>
      <c r="C28" s="10">
        <v>1</v>
      </c>
      <c r="D28" s="10">
        <f>C28*2+20</f>
      </c>
      <c r="E28" s="4" t="inlineStr">
        <is>
          <t xml:space="preserve">resistor 22k ohm 1 % (0603)</t>
        </is>
      </c>
      <c r="F28" s="0" t="inlineStr">
        <is>
          <t xml:space="preserve">UNI-ROYAL(Uniroyal Elec)</t>
        </is>
      </c>
      <c r="G28" s="0" t="inlineStr">
        <is>
          <t xml:space="preserve">0603WAF2202T5E</t>
        </is>
      </c>
      <c r="H28" s="0" t="inlineStr">
        <is>
          <t xml:space="preserve">C31850</t>
        </is>
      </c>
      <c r="I28" s="0" t="inlineStr">
        <is>
          <t xml:space="preserve">Basic</t>
        </is>
      </c>
      <c r="J28" s="3">
        <v>0.0041</v>
      </c>
      <c r="K28" s="2">
        <f>D28*J28</f>
      </c>
      <c r="L28" s="10">
        <v>3706362</v>
      </c>
      <c r="M28" s="0" t="inlineStr">
        <is>
          <t xml:space="preserve">0603</t>
        </is>
      </c>
      <c r="N28" s="0" t="inlineStr">
        <is>
          <t xml:space="preserve">top</t>
        </is>
      </c>
      <c r="O28" s="0" t="inlineStr">
        <is>
          <t xml:space="preserve">JLC</t>
        </is>
      </c>
      <c r="P28" s="5">
        <f>HYPERLINK("https://jlcpcb.com/partdetail/32812-0603WAF2202T5E/C31850","JLC")</f>
      </c>
      <c r="Q28" s="5">
        <f>HYPERLINK("https://www.lcsc.com/product-detail/chip-resistor-surface-mount_uni-royal-uniroyal-elec-0603waf2202t5e_C31850.html","LCSC")</f>
      </c>
      <c r="R28" s="5">
        <f>HYPERLINK("https://www.lcsc.com/datasheet/lcsc_datasheet_2206010030_UNI-ROYAL-Uniroyal-Elec-0603WAF2202T5E_C31850.pdf","PDF")</f>
      </c>
      <c r="S28" s="0" t="inlineStr">
        <is>
          <t xml:space="preserve">22k</t>
        </is>
      </c>
      <c r="T28" s="4" t="inlineStr">
        <is>
          <t xml:space="preserve">-55℃~+155℃ 100mW 22kΩ 75V Thick Film Resistor ±1% ±100ppm/℃ 0603 Chip Resistor - Surface Mount ROHS</t>
        </is>
      </c>
      <c r="U28" s="11" t="inlineStr">
        <is>
          <t xml:space="preserve">value and package from the schematic; 1% thick film, JLC Basic where one exists</t>
        </is>
      </c>
    </row>
    <row r="29">
      <c r="A29" s="10">
        <v>28</v>
      </c>
      <c r="B29" s="4" t="inlineStr">
        <is>
          <t xml:space="preserve">R66 R89 R92 R97</t>
        </is>
      </c>
      <c r="C29" s="10">
        <v>4</v>
      </c>
      <c r="D29" s="10">
        <f>C29*2+20</f>
      </c>
      <c r="E29" s="4" t="inlineStr">
        <is>
          <t xml:space="preserve">resistor 3.3k ohm 1 % (0603)</t>
        </is>
      </c>
      <c r="F29" s="0" t="inlineStr">
        <is>
          <t xml:space="preserve">UNI-ROYAL(Uniroyal Elec)</t>
        </is>
      </c>
      <c r="G29" s="0" t="inlineStr">
        <is>
          <t xml:space="preserve">0603WAF3301T5E</t>
        </is>
      </c>
      <c r="H29" s="0" t="inlineStr">
        <is>
          <t xml:space="preserve">C22978</t>
        </is>
      </c>
      <c r="I29" s="0" t="inlineStr">
        <is>
          <t xml:space="preserve">Basic</t>
        </is>
      </c>
      <c r="J29" s="3">
        <v>0.0026</v>
      </c>
      <c r="K29" s="2">
        <f>D29*J29</f>
      </c>
      <c r="L29" s="10">
        <v>5696130</v>
      </c>
      <c r="M29" s="0" t="inlineStr">
        <is>
          <t xml:space="preserve">0603</t>
        </is>
      </c>
      <c r="N29" s="0" t="inlineStr">
        <is>
          <t xml:space="preserve">bottom/top</t>
        </is>
      </c>
      <c r="O29" s="0" t="inlineStr">
        <is>
          <t xml:space="preserve">JLC</t>
        </is>
      </c>
      <c r="P29" s="5">
        <f>HYPERLINK("https://jlcpcb.com/partdetail/23705-0603WAF3301T5E/C22978","JLC")</f>
      </c>
      <c r="Q29" s="5">
        <f>HYPERLINK("https://www.lcsc.com/product-detail/chip-resistor-surface-mount_uni-royal-uniroyal-elec-0603waf3301t5e_C22978.html","LCSC")</f>
      </c>
      <c r="R29" s="5">
        <f>HYPERLINK("https://www.lcsc.com/datasheet/lcsc_datasheet_2206010116_UNI-ROYAL-Uniroyal-Elec-0603WAF3301T5E_C22978.pdf","PDF")</f>
      </c>
      <c r="S29" s="0" t="inlineStr">
        <is>
          <t xml:space="preserve">3.3k</t>
        </is>
      </c>
      <c r="T29" s="4" t="inlineStr">
        <is>
          <t xml:space="preserve">-55℃~+155℃ 100mW 3.3kΩ 75V Thick Film Resistor ±1% ±100ppm/℃ 0603 Chip Resistor - Surface Mount ROHS</t>
        </is>
      </c>
      <c r="U29" s="11" t="inlineStr">
        <is>
          <t xml:space="preserve">value and package from the schematic; 1% thick film, JLC Basic where one exists</t>
        </is>
      </c>
    </row>
    <row r="30">
      <c r="A30" s="10">
        <v>29</v>
      </c>
      <c r="B30" s="4" t="inlineStr">
        <is>
          <t xml:space="preserve">R68</t>
        </is>
      </c>
      <c r="C30" s="10">
        <v>1</v>
      </c>
      <c r="D30" s="10">
        <f>C30*2+20</f>
      </c>
      <c r="E30" s="4" t="inlineStr">
        <is>
          <t xml:space="preserve">resistor 62k ohm 1 % (0603)</t>
        </is>
      </c>
      <c r="F30" s="0" t="inlineStr">
        <is>
          <t xml:space="preserve">UNI-ROYAL(Uniroyal Elec)</t>
        </is>
      </c>
      <c r="G30" s="0" t="inlineStr">
        <is>
          <t xml:space="preserve">0603WAF6202T5E</t>
        </is>
      </c>
      <c r="H30" s="0" t="inlineStr">
        <is>
          <t xml:space="preserve">C23221</t>
        </is>
      </c>
      <c r="I30" s="0" t="inlineStr">
        <is>
          <t xml:space="preserve">Extended (preferred)</t>
        </is>
      </c>
      <c r="J30" s="3">
        <v>0.0028</v>
      </c>
      <c r="K30" s="2">
        <f>D30*J30</f>
      </c>
      <c r="L30" s="10">
        <v>418136</v>
      </c>
      <c r="M30" s="0" t="inlineStr">
        <is>
          <t xml:space="preserve">0603</t>
        </is>
      </c>
      <c r="N30" s="0" t="inlineStr">
        <is>
          <t xml:space="preserve">top</t>
        </is>
      </c>
      <c r="O30" s="0" t="inlineStr">
        <is>
          <t xml:space="preserve">JLC</t>
        </is>
      </c>
      <c r="P30" s="5">
        <f>HYPERLINK("https://jlcpcb.com/partdetail/23948-0603WAF6202T5E/C23221","JLC")</f>
      </c>
      <c r="Q30" s="5">
        <f>HYPERLINK("https://www.lcsc.com/product-detail/chip-resistor-surface-mount_uni-royal-uniroyal-elec-0603waf6202t5e_C23221.html","LCSC")</f>
      </c>
      <c r="R30" s="5">
        <f>HYPERLINK("https://www.lcsc.com/datasheet/lcsc_datasheet_2206010116_UNI-ROYAL-Uniroyal-Elec-0603WAF6202T5E_C23221.pdf","PDF")</f>
      </c>
      <c r="S30" s="0" t="inlineStr">
        <is>
          <t xml:space="preserve">62k</t>
        </is>
      </c>
      <c r="T30" s="4" t="inlineStr">
        <is>
          <t xml:space="preserve">-55℃~+155℃ 100mW 62kΩ 75V Thick Film Resistor ±1% ±100ppm/℃ 0603 Chip Resistor - Surface Mount ROHS</t>
        </is>
      </c>
      <c r="U30" s="11" t="inlineStr">
        <is>
          <t xml:space="preserve">value and package from the schematic; 1% thick film, JLC Basic where one exists</t>
        </is>
      </c>
    </row>
    <row r="31">
      <c r="A31" s="10">
        <v>30</v>
      </c>
      <c r="B31" s="4" t="inlineStr">
        <is>
          <t xml:space="preserve">R69</t>
        </is>
      </c>
      <c r="C31" s="10">
        <v>1</v>
      </c>
      <c r="D31" s="10">
        <f>C31*2+20</f>
      </c>
      <c r="E31" s="4" t="inlineStr">
        <is>
          <t xml:space="preserve">resistor 20k ohm 1 % (0603)</t>
        </is>
      </c>
      <c r="F31" s="0" t="inlineStr">
        <is>
          <t xml:space="preserve">UNI-ROYAL(Uniroyal Elec)</t>
        </is>
      </c>
      <c r="G31" s="0" t="inlineStr">
        <is>
          <t xml:space="preserve">0603WAF2002T5E</t>
        </is>
      </c>
      <c r="H31" s="0" t="inlineStr">
        <is>
          <t xml:space="preserve">C4184</t>
        </is>
      </c>
      <c r="I31" s="0" t="inlineStr">
        <is>
          <t xml:space="preserve">Basic</t>
        </is>
      </c>
      <c r="J31" s="3">
        <v>0.0023</v>
      </c>
      <c r="K31" s="2">
        <f>D31*J31</f>
      </c>
      <c r="L31" s="10">
        <v>8044733</v>
      </c>
      <c r="M31" s="0" t="inlineStr">
        <is>
          <t xml:space="preserve">0603</t>
        </is>
      </c>
      <c r="N31" s="0" t="inlineStr">
        <is>
          <t xml:space="preserve">top</t>
        </is>
      </c>
      <c r="O31" s="0" t="inlineStr">
        <is>
          <t xml:space="preserve">JLC</t>
        </is>
      </c>
      <c r="P31" s="5">
        <f>HYPERLINK("https://jlcpcb.com/partdetail/4591-0603WAF2002T5E/C4184","JLC")</f>
      </c>
      <c r="Q31" s="5">
        <f>HYPERLINK("https://www.lcsc.com/product-detail/chip-resistor-surface-mount_uni-royal-uniroyal-elec-0603waf2002t5e_C4184.html","LCSC")</f>
      </c>
      <c r="R31" s="5">
        <f>HYPERLINK("https://www.lcsc.com/datasheet/lcsc_datasheet_2206010230_UNI-ROYAL-Uniroyal-Elec-0603WAF2002T5E_C4184.pdf","PDF")</f>
      </c>
      <c r="S31" s="0" t="inlineStr">
        <is>
          <t xml:space="preserve">20k</t>
        </is>
      </c>
      <c r="T31" s="4" t="inlineStr">
        <is>
          <t xml:space="preserve">-55℃~+155℃ 100mW 20kΩ 75V Thick Film Resistor ±1% ±100ppm/℃ 0603 Chip Resistor - Surface Mount ROHS</t>
        </is>
      </c>
      <c r="U31" s="11" t="inlineStr">
        <is>
          <t xml:space="preserve">value and package from the schematic; 1% thick film, JLC Basic where one exists</t>
        </is>
      </c>
    </row>
    <row r="32">
      <c r="A32" s="10">
        <v>31</v>
      </c>
      <c r="B32" s="4" t="inlineStr">
        <is>
          <t xml:space="preserve">R82</t>
        </is>
      </c>
      <c r="C32" s="10">
        <v>1</v>
      </c>
      <c r="D32" s="10">
        <f>C32*2+20</f>
      </c>
      <c r="E32" s="4" t="inlineStr">
        <is>
          <t xml:space="preserve">resistor 56k ohm 1 % (0603)</t>
        </is>
      </c>
      <c r="F32" s="0" t="inlineStr">
        <is>
          <t xml:space="preserve">UNI-ROYAL(Uniroyal Elec)</t>
        </is>
      </c>
      <c r="G32" s="0" t="inlineStr">
        <is>
          <t xml:space="preserve">0603WAF5602T5E</t>
        </is>
      </c>
      <c r="H32" s="0" t="inlineStr">
        <is>
          <t xml:space="preserve">C23206</t>
        </is>
      </c>
      <c r="I32" s="0" t="inlineStr">
        <is>
          <t xml:space="preserve">Basic</t>
        </is>
      </c>
      <c r="J32" s="3">
        <v>0.0027</v>
      </c>
      <c r="K32" s="2">
        <f>D32*J32</f>
      </c>
      <c r="L32" s="10">
        <v>1026495</v>
      </c>
      <c r="M32" s="0" t="inlineStr">
        <is>
          <t xml:space="preserve">0603</t>
        </is>
      </c>
      <c r="N32" s="0" t="inlineStr">
        <is>
          <t xml:space="preserve">top</t>
        </is>
      </c>
      <c r="O32" s="0" t="inlineStr">
        <is>
          <t xml:space="preserve">JLC</t>
        </is>
      </c>
      <c r="P32" s="5">
        <f>HYPERLINK("https://jlcpcb.com/partdetail/23933-0603WAF5602T5E/C23206","JLC")</f>
      </c>
      <c r="Q32" s="5">
        <f>HYPERLINK("https://www.lcsc.com/product-detail/chip-resistor-surface-mount_uni-royal-uniroyal-elec-0603waf5602t5e_C23206.html","LCSC")</f>
      </c>
      <c r="R32" s="5">
        <f>HYPERLINK("https://www.lcsc.com/datasheet/lcsc_datasheet_2206010116_UNI-ROYAL-Uniroyal-Elec-0603WAF5602T5E_C23206.pdf","PDF")</f>
      </c>
      <c r="S32" s="0" t="inlineStr">
        <is>
          <t xml:space="preserve">56k</t>
        </is>
      </c>
      <c r="T32" s="4" t="inlineStr">
        <is>
          <t xml:space="preserve">-55℃~+155℃ 100mW 56kΩ 75V Thick Film Resistor ±1% ±100ppm/℃ 0603 Chip Resistor - Surface Mount ROHS</t>
        </is>
      </c>
      <c r="U32" s="11" t="inlineStr">
        <is>
          <t xml:space="preserve">value and package from the schematic; 1% thick film, JLC Basic where one exists</t>
        </is>
      </c>
    </row>
    <row r="33">
      <c r="A33" s="10">
        <v>32</v>
      </c>
      <c r="B33" s="4" t="inlineStr">
        <is>
          <t xml:space="preserve">R84</t>
        </is>
      </c>
      <c r="C33" s="10">
        <v>1</v>
      </c>
      <c r="D33" s="10">
        <f>C33*2+20</f>
      </c>
      <c r="E33" s="4" t="inlineStr">
        <is>
          <t xml:space="preserve">resistor 120k ohm 1 % (0603)</t>
        </is>
      </c>
      <c r="F33" s="0" t="inlineStr">
        <is>
          <t xml:space="preserve">UNI-ROYAL(Uniroyal Elec)</t>
        </is>
      </c>
      <c r="G33" s="0" t="inlineStr">
        <is>
          <t xml:space="preserve">0603WAF1203T5E</t>
        </is>
      </c>
      <c r="H33" s="0" t="inlineStr">
        <is>
          <t xml:space="preserve">C25808</t>
        </is>
      </c>
      <c r="I33" s="0" t="inlineStr">
        <is>
          <t xml:space="preserve">Basic</t>
        </is>
      </c>
      <c r="J33" s="3">
        <v>0.0015</v>
      </c>
      <c r="K33" s="2">
        <f>D33*J33</f>
      </c>
      <c r="L33" s="10">
        <v>1007305</v>
      </c>
      <c r="M33" s="0" t="inlineStr">
        <is>
          <t xml:space="preserve">0603</t>
        </is>
      </c>
      <c r="N33" s="0" t="inlineStr">
        <is>
          <t xml:space="preserve">bottom</t>
        </is>
      </c>
      <c r="O33" s="0" t="inlineStr">
        <is>
          <t xml:space="preserve">JLC</t>
        </is>
      </c>
      <c r="P33" s="5">
        <f>HYPERLINK("https://jlcpcb.com/partdetail/26551-0603WAF1203T5E/C25808","JLC")</f>
      </c>
      <c r="Q33" s="5">
        <f>HYPERLINK("https://www.lcsc.com/product-detail/chip-resistor-surface-mount_uni-royal-uniroyal-elec-0603waf1203t5e_C25808.html","LCSC")</f>
      </c>
      <c r="R33" s="5">
        <f>HYPERLINK("https://www.lcsc.com/datasheet/lcsc_datasheet_2206010045_UNI-ROYAL-Uniroyal-Elec-0603WAF1203T5E_C25808.pdf","PDF")</f>
      </c>
      <c r="S33" s="0" t="inlineStr">
        <is>
          <t xml:space="preserve">120k</t>
        </is>
      </c>
      <c r="T33" s="4" t="inlineStr">
        <is>
          <t xml:space="preserve">-55℃~+155℃ 100mW 120kΩ 75V Thick Film Resistor ±1% ±100ppm/℃ 0603 Chip Resistor - Surface Mount ROHS</t>
        </is>
      </c>
      <c r="U33" s="11" t="inlineStr">
        <is>
          <t xml:space="preserve">value and package from the schematic; 1% thick film, JLC Basic where one exists</t>
        </is>
      </c>
    </row>
    <row r="34">
      <c r="A34" s="10">
        <v>33</v>
      </c>
      <c r="B34" s="4" t="inlineStr">
        <is>
          <t xml:space="preserve">R86</t>
        </is>
      </c>
      <c r="C34" s="10">
        <v>1</v>
      </c>
      <c r="D34" s="10">
        <f>C34*2+20</f>
      </c>
      <c r="E34" s="4" t="inlineStr">
        <is>
          <t xml:space="preserve">resistor 1M ohm 1 % (0805)</t>
        </is>
      </c>
      <c r="F34" s="0" t="inlineStr">
        <is>
          <t xml:space="preserve">UNI-ROYAL(Uniroyal Elec)</t>
        </is>
      </c>
      <c r="G34" s="0" t="inlineStr">
        <is>
          <t xml:space="preserve">0805W8F1004T5E</t>
        </is>
      </c>
      <c r="H34" s="0" t="inlineStr">
        <is>
          <t xml:space="preserve">C17514</t>
        </is>
      </c>
      <c r="I34" s="0" t="inlineStr">
        <is>
          <t xml:space="preserve">Basic</t>
        </is>
      </c>
      <c r="J34" s="3">
        <v>0.0043</v>
      </c>
      <c r="K34" s="2">
        <f>D34*J34</f>
      </c>
      <c r="L34" s="10">
        <v>2420510</v>
      </c>
      <c r="M34" s="0" t="inlineStr">
        <is>
          <t xml:space="preserve">0805</t>
        </is>
      </c>
      <c r="N34" s="0" t="inlineStr">
        <is>
          <t xml:space="preserve">top</t>
        </is>
      </c>
      <c r="O34" s="0" t="inlineStr">
        <is>
          <t xml:space="preserve">JLC</t>
        </is>
      </c>
      <c r="P34" s="5">
        <f>HYPERLINK("https://jlcpcb.com/partdetail/18202-0805W8F1004T5E/C17514","JLC")</f>
      </c>
      <c r="Q34" s="5">
        <f>HYPERLINK("https://www.lcsc.com/product-detail/chip-resistor-surface-mount_uni-royal-uniroyal-elec-0805w8f1004t5e_C17514.html","LCSC")</f>
      </c>
      <c r="R34" s="5">
        <f>HYPERLINK("https://www.lcsc.com/datasheet/lcsc_datasheet_2206010200_UNI-ROYAL-Uniroyal-Elec-0805W8F1004T5E_C17514.pdf","PDF")</f>
      </c>
      <c r="S34" s="0" t="inlineStr">
        <is>
          <t xml:space="preserve">1M</t>
        </is>
      </c>
      <c r="T34" s="4" t="inlineStr">
        <is>
          <t xml:space="preserve">-55℃~+155℃ 125mW 150V 1MΩ Thick Film Resistor ±1% ±100ppm/℃ 0805 Chip Resistor - Surface Mount ROHS</t>
        </is>
      </c>
      <c r="U34" s="11" t="inlineStr">
        <is>
          <t xml:space="preserve">value and package from the schematic; 1% thick film, JLC Basic where one exists</t>
        </is>
      </c>
    </row>
    <row r="35">
      <c r="A35" s="10">
        <v>34</v>
      </c>
      <c r="B35" s="4" t="inlineStr">
        <is>
          <t xml:space="preserve">R90 R93 R98</t>
        </is>
      </c>
      <c r="C35" s="10">
        <v>3</v>
      </c>
      <c r="D35" s="10">
        <f>C35*2+20</f>
      </c>
      <c r="E35" s="4" t="inlineStr">
        <is>
          <t xml:space="preserve">resistor 10M ohm 1 % (0603)</t>
        </is>
      </c>
      <c r="F35" s="0" t="inlineStr">
        <is>
          <t xml:space="preserve">UNI-ROYAL(Uniroyal Elec)</t>
        </is>
      </c>
      <c r="G35" s="0" t="inlineStr">
        <is>
          <t xml:space="preserve">0603WAF1005T5E</t>
        </is>
      </c>
      <c r="H35" s="0" t="inlineStr">
        <is>
          <t xml:space="preserve">C7250</t>
        </is>
      </c>
      <c r="I35" s="0" t="inlineStr">
        <is>
          <t xml:space="preserve">Basic</t>
        </is>
      </c>
      <c r="J35" s="3">
        <v>0.0037</v>
      </c>
      <c r="K35" s="2">
        <f>D35*J35</f>
      </c>
      <c r="L35" s="10">
        <v>297135</v>
      </c>
      <c r="M35" s="0" t="inlineStr">
        <is>
          <t xml:space="preserve">0603</t>
        </is>
      </c>
      <c r="N35" s="0" t="inlineStr">
        <is>
          <t xml:space="preserve">bottom/top</t>
        </is>
      </c>
      <c r="O35" s="0" t="inlineStr">
        <is>
          <t xml:space="preserve">JLC</t>
        </is>
      </c>
      <c r="P35" s="5">
        <f>HYPERLINK("https://jlcpcb.com/partdetail/7726-0603WAF1005T5E/C7250","JLC")</f>
      </c>
      <c r="Q35" s="5">
        <f>HYPERLINK("https://www.lcsc.com/product-detail/chip-resistor-surface-mount_uni-royal-uniroyal-elec-0603waf1005t5e_C7250.html","LCSC")</f>
      </c>
      <c r="R35" s="5">
        <f>HYPERLINK("https://www.lcsc.com/datasheet/lcsc_datasheet_2206010216_UNI-ROYAL-Uniroyal-Elec-0603WAF1005T5E_C7250.pdf","PDF")</f>
      </c>
      <c r="S35" s="0" t="inlineStr">
        <is>
          <t xml:space="preserve">10M</t>
        </is>
      </c>
      <c r="T35" s="4" t="inlineStr">
        <is>
          <t xml:space="preserve">-55℃~+155℃ 100mW 10MΩ 75V Thick Film Resistor ±1% ±100ppm/℃ 0603 Chip Resistor - Surface Mount ROHS</t>
        </is>
      </c>
      <c r="U35" s="11" t="inlineStr">
        <is>
          <t xml:space="preserve">value and package from the schematic; 1% thick film, JLC Basic where one exists</t>
        </is>
      </c>
    </row>
    <row r="36">
      <c r="A36" s="10">
        <v>35</v>
      </c>
      <c r="B36" s="4" t="inlineStr">
        <is>
          <t xml:space="preserve">U2 U4 U5 U14 U21</t>
        </is>
      </c>
      <c r="C36" s="10">
        <v>5</v>
      </c>
      <c r="D36" s="10">
        <f>C36*2+0</f>
      </c>
      <c r="E36" s="4" t="inlineStr">
        <is>
          <t xml:space="preserve">comparator, push-pull, 56 ns</t>
        </is>
      </c>
      <c r="F36" s="0" t="inlineStr">
        <is>
          <t xml:space="preserve">Microchip Tech</t>
        </is>
      </c>
      <c r="G36" s="0" t="inlineStr">
        <is>
          <t xml:space="preserve">MCP6561T-E/OT</t>
        </is>
      </c>
      <c r="H36" s="0" t="inlineStr">
        <is>
          <t xml:space="preserve">C117501</t>
        </is>
      </c>
      <c r="I36" s="0" t="inlineStr">
        <is>
          <t xml:space="preserve">Extended</t>
        </is>
      </c>
      <c r="J36" s="3">
        <v>0.743</v>
      </c>
      <c r="K36" s="2">
        <f>D36*J36</f>
      </c>
      <c r="L36" s="10">
        <v>4005</v>
      </c>
      <c r="M36" s="0" t="inlineStr">
        <is>
          <t xml:space="preserve">SOT-23-5</t>
        </is>
      </c>
      <c r="N36" s="0" t="inlineStr">
        <is>
          <t xml:space="preserve">bottom/top</t>
        </is>
      </c>
      <c r="O36" s="0" t="inlineStr">
        <is>
          <t xml:space="preserve">JLC</t>
        </is>
      </c>
      <c r="P36" s="5">
        <f>HYPERLINK("https://jlcpcb.com/partdetail/MicrochipTech-MCP6561T_EOT/C117501","JLC")</f>
      </c>
      <c r="Q36" s="5">
        <f>HYPERLINK("https://www.lcsc.com/product-detail/comparators_microchip-tech-mcp6561t-e-ot_C117501.html","LCSC")</f>
      </c>
      <c r="R36" s="5">
        <f>HYPERLINK("https://www.lcsc.com/datasheet/lcsc_datasheet_2304140030_Microchip-Tech-MCP6561T-E-OT_C117501.pdf","PDF")</f>
      </c>
      <c r="S36" s="0" t="inlineStr">
        <is>
          <t xml:space="preserve">MCP6561</t>
        </is>
      </c>
      <c r="T36" s="4" t="inlineStr">
        <is>
          <t xml:space="preserve">-40℃~+125℃ 1 1.8V~5.5V 100uA 1pA 1pA 2.5mV 20ns 2uV/℃ 3mV 56ns 6.5V 66dB ESD protection、Built-in hysteresis Push-pull Rail-to-rail input TTL、CMOS SOT-23-5 Comparators ROHS</t>
        </is>
      </c>
      <c r="U36" s="11" t="inlineStr">
        <is>
          <t xml:space="preserve">the part named in the schematic</t>
        </is>
      </c>
    </row>
    <row r="37">
      <c r="A37" s="10">
        <v>36</v>
      </c>
      <c r="B37" s="4" t="inlineStr">
        <is>
          <t xml:space="preserve">U3 U7 U13 U22 U23 U24</t>
        </is>
      </c>
      <c r="C37" s="10">
        <v>6</v>
      </c>
      <c r="D37" s="10">
        <f>C37*2+20</f>
      </c>
      <c r="E37" s="4" t="inlineStr">
        <is>
          <t xml:space="preserve">op-amp, rail-to-rail, 1 MHz</t>
        </is>
      </c>
      <c r="F37" s="0" t="inlineStr">
        <is>
          <t xml:space="preserve">Texas Instruments</t>
        </is>
      </c>
      <c r="G37" s="0" t="inlineStr">
        <is>
          <t xml:space="preserve">TLV9001IDBVR</t>
        </is>
      </c>
      <c r="H37" s="0" t="inlineStr">
        <is>
          <t xml:space="preserve">C398363</t>
        </is>
      </c>
      <c r="I37" s="0" t="inlineStr">
        <is>
          <t xml:space="preserve">Extended</t>
        </is>
      </c>
      <c r="J37" s="3">
        <v>0.0979</v>
      </c>
      <c r="K37" s="2">
        <f>D37*J37</f>
      </c>
      <c r="L37" s="10">
        <v>48438</v>
      </c>
      <c r="M37" s="0" t="inlineStr">
        <is>
          <t xml:space="preserve">SOT-23-5</t>
        </is>
      </c>
      <c r="N37" s="0" t="inlineStr">
        <is>
          <t xml:space="preserve">bottom/top</t>
        </is>
      </c>
      <c r="O37" s="0" t="inlineStr">
        <is>
          <t xml:space="preserve">JLC</t>
        </is>
      </c>
      <c r="P37" s="5">
        <f>HYPERLINK("https://jlcpcb.com/partdetail/TexasInstruments-TLV9001IDBVR/C398363","JLC")</f>
      </c>
      <c r="Q37" s="5">
        <f>HYPERLINK("https://www.lcsc.com/product-detail/operational-amplifier_texas-instruments-tlv9001idbvr_C398363.html","LCSC")</f>
      </c>
      <c r="R37" s="5">
        <f>HYPERLINK("https://www.lcsc.com/datasheet/lcsc_datasheet_2410010130_Texas-Instruments-TLV9001IDBVR_C398363.pdf","PDF")</f>
      </c>
      <c r="S37" s="0" t="inlineStr">
        <is>
          <t xml:space="preserve">TLV9001</t>
        </is>
      </c>
      <c r="T37" s="4" t="inlineStr">
        <is>
          <t xml:space="preserve">-2.75V~-900mV、900mV~2.75V -40℃~+125℃ 1 1.6mV 1.8V~5.5V 1MHz 2V/us 2pA 4.7nV/√Hz@1kHz 40mA 5pA 600nV/℃ 60uA 86dB Enable/shutdown function、EMI filtering/RF suppression Rail-to-Rail Input, Rail-to-Rail Output SOT-23-5 Operational Amplifier ROHS</t>
        </is>
      </c>
      <c r="U37" s="11" t="inlineStr">
        <is>
          <t xml:space="preserve">TI TLV9001IDBVR (the DBV part: pins 1 OUT, 2 V-, 3 IN+, 4 IN-, 5 V+, NOT the TLV9001U). 1 MHz, 2 V/us, 1.6 mV max offset. Alternates: C49889 MCP6241T-E/OT</t>
        </is>
      </c>
    </row>
    <row r="38">
      <c r="A38" s="10">
        <v>37</v>
      </c>
      <c r="B38" s="4" t="inlineStr">
        <is>
          <t xml:space="preserve">U18</t>
        </is>
      </c>
      <c r="C38" s="10">
        <v>1</v>
      </c>
      <c r="D38" s="10">
        <f>C38*2+0</f>
      </c>
      <c r="E38" s="4" t="inlineStr">
        <is>
          <t xml:space="preserve">decade counter (CMOS 4017)</t>
        </is>
      </c>
      <c r="F38" s="0" t="inlineStr">
        <is>
          <t xml:space="preserve">Texas Instruments</t>
        </is>
      </c>
      <c r="G38" s="0" t="inlineStr">
        <is>
          <t xml:space="preserve">CD4017BM96</t>
        </is>
      </c>
      <c r="H38" s="0" t="inlineStr">
        <is>
          <t xml:space="preserve">C11349</t>
        </is>
      </c>
      <c r="I38" s="0" t="inlineStr">
        <is>
          <t xml:space="preserve">Extended</t>
        </is>
      </c>
      <c r="J38" s="3">
        <v>0.7267</v>
      </c>
      <c r="K38" s="2">
        <f>D38*J38</f>
      </c>
      <c r="L38" s="10">
        <v>18267</v>
      </c>
      <c r="M38" s="0" t="inlineStr">
        <is>
          <t xml:space="preserve">SOIC-16</t>
        </is>
      </c>
      <c r="N38" s="0" t="inlineStr">
        <is>
          <t xml:space="preserve">top</t>
        </is>
      </c>
      <c r="O38" s="0" t="inlineStr">
        <is>
          <t xml:space="preserve">JLC</t>
        </is>
      </c>
      <c r="P38" s="5">
        <f>HYPERLINK("https://jlcpcb.com/partdetail/TexasInstruments-CD4017BM96/C11349","JLC")</f>
      </c>
      <c r="Q38" s="5">
        <f>HYPERLINK("https://www.lcsc.com/product-detail/counters-dividers_texas-instruments-cd4017bm96_C11349.html","LCSC")</f>
      </c>
      <c r="R38" s="5">
        <f>HYPERLINK("https://www.lcsc.com/datasheet/lcsc_datasheet_1809042113_Texas-Instruments-CD4017BM96_C11349.pdf","PDF")</f>
      </c>
      <c r="S38" s="0" t="inlineStr">
        <is>
          <t xml:space="preserve">CD4017B</t>
        </is>
      </c>
      <c r="T38" s="4" t="inlineStr">
        <is>
          <t xml:space="preserve">-55℃~+125℃ 1 135ns 3V~18V 5.5MHz Asynchronous Divide-by-10 Rising Edge Up Counter SOIC-16 Counters, Dividers ROHS</t>
        </is>
      </c>
      <c r="U38" s="11" t="inlineStr">
        <is>
          <t xml:space="preserve">the part named in the schematic</t>
        </is>
      </c>
    </row>
    <row r="39">
      <c r="A39" s="10">
        <v>38</v>
      </c>
      <c r="B39" s="4" t="inlineStr">
        <is>
          <t xml:space="preserve">U26</t>
        </is>
      </c>
      <c r="C39" s="10">
        <v>1</v>
      </c>
      <c r="D39" s="10">
        <f>C39*2+0</f>
      </c>
      <c r="E39" s="4" t="inlineStr">
        <is>
          <t xml:space="preserve">quad digital potentiometer 10 kOhm, I2C</t>
        </is>
      </c>
      <c r="F39" s="0" t="inlineStr">
        <is>
          <t xml:space="preserve">Microchip Tech</t>
        </is>
      </c>
      <c r="G39" s="0" t="inlineStr">
        <is>
          <t xml:space="preserve">MCP4451-103E/ST</t>
        </is>
      </c>
      <c r="H39" s="0" t="inlineStr">
        <is>
          <t xml:space="preserve">C145613</t>
        </is>
      </c>
      <c r="I39" s="0" t="inlineStr">
        <is>
          <t xml:space="preserve">Extended</t>
        </is>
      </c>
      <c r="J39" s="3">
        <v>2.9051</v>
      </c>
      <c r="K39" s="2">
        <f>D39*J39</f>
      </c>
      <c r="L39" s="10">
        <v>40</v>
      </c>
      <c r="M39" s="0" t="inlineStr">
        <is>
          <t xml:space="preserve">TSSOP-20</t>
        </is>
      </c>
      <c r="N39" s="0" t="inlineStr">
        <is>
          <t xml:space="preserve">bottom</t>
        </is>
      </c>
      <c r="O39" s="0" t="inlineStr">
        <is>
          <t xml:space="preserve">JLC</t>
        </is>
      </c>
      <c r="P39" s="5">
        <f>HYPERLINK("https://jlcpcb.com/partdetail/MicrochipTech-MCP4451_103EST/C145613","JLC")</f>
      </c>
      <c r="Q39" s="5">
        <f>HYPERLINK("https://www.lcsc.com/product-detail/digital-potentiometers_microchip-tech-mcp4451-103e-st_C145613.html","LCSC")</f>
      </c>
      <c r="R39" s="5">
        <f>HYPERLINK("https://www.lcsc.com/datasheet/lcsc_datasheet_1811082132_Microchip-Tech-MCP4451-103E-ST_C145613.pdf","PDF")</f>
      </c>
      <c r="S39" s="0" t="inlineStr">
        <is>
          <t xml:space="preserve">MCP4451-103E/ST</t>
        </is>
      </c>
      <c r="T39" s="4" t="inlineStr">
        <is>
          <t xml:space="preserve">-40℃~+125℃ 1.8V~5.5V 10kΩ 1MHz 2.5uA 257 4 50ppm/℃ 75Ω I2C Linear Power-on reset RAM ±20% TSSOP-20 Digital Potentiometers ROHS</t>
        </is>
      </c>
      <c r="U39" s="11" t="inlineStr">
        <is>
          <t xml:space="preserve">STOCK 52</t>
        </is>
      </c>
    </row>
    <row r="40">
      <c r="A40" s="10">
        <v>39</v>
      </c>
      <c r="B40" s="4" t="inlineStr">
        <is>
          <t xml:space="preserve">U28</t>
        </is>
      </c>
      <c r="C40" s="10">
        <v>1</v>
      </c>
      <c r="D40" s="10">
        <f>C40*2+0</f>
      </c>
      <c r="E40" s="4" t="inlineStr">
        <is>
          <t xml:space="preserve">8-channel analog multiplexer</t>
        </is>
      </c>
      <c r="F40" s="0" t="inlineStr">
        <is>
          <t xml:space="preserve">Nexperia</t>
        </is>
      </c>
      <c r="G40" s="0" t="inlineStr">
        <is>
          <t xml:space="preserve">74HC4051D,653</t>
        </is>
      </c>
      <c r="H40" s="0" t="inlineStr">
        <is>
          <t xml:space="preserve">C9386</t>
        </is>
      </c>
      <c r="I40" s="0" t="inlineStr">
        <is>
          <t xml:space="preserve">Extended</t>
        </is>
      </c>
      <c r="J40" s="3">
        <v>0.2146</v>
      </c>
      <c r="K40" s="2">
        <f>D40*J40</f>
      </c>
      <c r="L40" s="10">
        <v>33472</v>
      </c>
      <c r="M40" s="0" t="inlineStr">
        <is>
          <t xml:space="preserve">SOIC-16</t>
        </is>
      </c>
      <c r="N40" s="0" t="inlineStr">
        <is>
          <t xml:space="preserve">top</t>
        </is>
      </c>
      <c r="O40" s="0" t="inlineStr">
        <is>
          <t xml:space="preserve">JLC</t>
        </is>
      </c>
      <c r="P40" s="5">
        <f>HYPERLINK("https://jlcpcb.com/partdetail/Nexperia-74HC4051D653/C9386","JLC")</f>
      </c>
      <c r="Q40" s="5">
        <f>HYPERLINK("https://www.lcsc.com/product-detail/analog-switches-multiplexers_nexperia-74hc4051d-653_C9386.html","LCSC")</f>
      </c>
      <c r="R40" s="5">
        <f>HYPERLINK("https://www.lcsc.com/datasheet/lcsc_datasheet_2410121924_Nexperia-74HC4051D-653_C9386.pdf","PDF")</f>
      </c>
      <c r="S40" s="0" t="inlineStr">
        <is>
          <t xml:space="preserve">74HC4051</t>
        </is>
      </c>
      <c r="T40" s="4" t="inlineStr">
        <is>
          <t xml:space="preserve">-40℃~+125℃ 1 29ns 2V~10V 31ns 5ns 80Ω 8:1 SOIC-16 Analog Switches, Multiplexers ROHS</t>
        </is>
      </c>
      <c r="U40" s="11" t="inlineStr">
        <is>
          <t xml:space="preserve">the part named in the schematic</t>
        </is>
      </c>
    </row>
    <row r="41">
      <c r="A41" s="10">
        <v>40</v>
      </c>
      <c r="B41" s="4" t="inlineStr">
        <is>
          <t xml:space="preserve">U101 U102 U103</t>
        </is>
      </c>
      <c r="C41" s="10">
        <v>3</v>
      </c>
      <c r="D41" s="10">
        <f>C41*2+0</f>
      </c>
      <c r="E41" s="4" t="inlineStr">
        <is>
          <t xml:space="preserve">quad 2-input NAND gate</t>
        </is>
      </c>
      <c r="F41" s="0" t="inlineStr">
        <is>
          <t xml:space="preserve">Nexperia</t>
        </is>
      </c>
      <c r="G41" s="0" t="inlineStr">
        <is>
          <t xml:space="preserve">74HC00D,653</t>
        </is>
      </c>
      <c r="H41" s="0" t="inlineStr">
        <is>
          <t xml:space="preserve">C5586</t>
        </is>
      </c>
      <c r="I41" s="0" t="inlineStr">
        <is>
          <t xml:space="preserve">Extended</t>
        </is>
      </c>
      <c r="J41" s="3">
        <v>0.1546</v>
      </c>
      <c r="K41" s="2">
        <f>D41*J41</f>
      </c>
      <c r="L41" s="10">
        <v>8289</v>
      </c>
      <c r="M41" s="0" t="inlineStr">
        <is>
          <t xml:space="preserve">SOIC-14</t>
        </is>
      </c>
      <c r="N41" s="0" t="inlineStr">
        <is>
          <t xml:space="preserve">top</t>
        </is>
      </c>
      <c r="O41" s="0" t="inlineStr">
        <is>
          <t xml:space="preserve">JLC</t>
        </is>
      </c>
      <c r="P41" s="5">
        <f>HYPERLINK("https://jlcpcb.com/partdetail/Nexperia-74HC00D653/C5586","JLC")</f>
      </c>
      <c r="Q41" s="5">
        <f>HYPERLINK("https://www.lcsc.com/product-detail/logic-gates_nexperia-74hc00d-653_C5586.html","LCSC")</f>
      </c>
      <c r="R41" s="5">
        <f>HYPERLINK("https://www.lcsc.com/datasheet/lcsc_datasheet_2407241044_Nexperia-74HC00D-653_C5586.pdf","PDF")</f>
      </c>
      <c r="S41" s="0" t="inlineStr">
        <is>
          <t xml:space="preserve">74HC00</t>
        </is>
      </c>
      <c r="T41" s="4" t="inlineStr">
        <is>
          <t xml:space="preserve">-40℃~+125℃ 1.5V、3.15V、4.2V 1.9V、3.7V、5.9V 100mV、400mV、400mV 2 2V~6V 4 40uA 5.2mA 5.2mA 500mV~1.8V 74HC Series 7ns@6V,50pF NAND Gate SOIC-14 Logic Gates ROHS</t>
        </is>
      </c>
      <c r="U41" s="11" t="inlineStr">
        <is>
          <t xml:space="preserve">the part named in the schematic</t>
        </is>
      </c>
    </row>
    <row r="42">
      <c r="A42" s="10">
        <v>41</v>
      </c>
      <c r="B42" s="4" t="inlineStr">
        <is>
          <t xml:space="preserve">U104 U105</t>
        </is>
      </c>
      <c r="C42" s="10">
        <v>2</v>
      </c>
      <c r="D42" s="10">
        <f>C42*2+0</f>
      </c>
      <c r="E42" s="4" t="inlineStr">
        <is>
          <t xml:space="preserve">hex Schmitt-trigger inverter</t>
        </is>
      </c>
      <c r="F42" s="0" t="inlineStr">
        <is>
          <t xml:space="preserve">Nexperia</t>
        </is>
      </c>
      <c r="G42" s="0" t="inlineStr">
        <is>
          <t xml:space="preserve">74HC14D,653</t>
        </is>
      </c>
      <c r="H42" s="0" t="inlineStr">
        <is>
          <t xml:space="preserve">C5605</t>
        </is>
      </c>
      <c r="I42" s="0" t="inlineStr">
        <is>
          <t xml:space="preserve">Basic</t>
        </is>
      </c>
      <c r="J42" s="3">
        <v>0.1023</v>
      </c>
      <c r="K42" s="2">
        <f>D42*J42</f>
      </c>
      <c r="L42" s="10">
        <v>206540</v>
      </c>
      <c r="M42" s="0" t="inlineStr">
        <is>
          <t xml:space="preserve">SOIC-14</t>
        </is>
      </c>
      <c r="N42" s="0" t="inlineStr">
        <is>
          <t xml:space="preserve">bottom/top</t>
        </is>
      </c>
      <c r="O42" s="0" t="inlineStr">
        <is>
          <t xml:space="preserve">JLC</t>
        </is>
      </c>
      <c r="P42" s="5">
        <f>HYPERLINK("https://jlcpcb.com/partdetail/Nexperia-74HC14D653/C5605","JLC")</f>
      </c>
      <c r="Q42" s="5">
        <f>HYPERLINK("https://www.lcsc.com/product-detail/inverters_nexperia-74hc14d-653_C5605.html","LCSC")</f>
      </c>
      <c r="R42" s="5">
        <f>HYPERLINK("https://www.lcsc.com/datasheet/lcsc_datasheet_2407241044_Nexperia-74HC14D-653_C5605.pdf","PDF")</f>
      </c>
      <c r="S42" s="0" t="inlineStr">
        <is>
          <t xml:space="preserve">74HC14</t>
        </is>
      </c>
      <c r="T42" s="4" t="inlineStr">
        <is>
          <t xml:space="preserve">-40℃~+125℃ 1 1.5V~4.2V 21ns@6V,50pF 2V~6V 2uA 300mV~1.2V 5.2mA 5.2mA 6 74HC Schmitt trigger SOIC-14 Inverters ROHS</t>
        </is>
      </c>
      <c r="U42" s="11" t="inlineStr">
        <is>
          <t xml:space="preserve">the part named in the schematic</t>
        </is>
      </c>
    </row>
    <row r="43">
      <c r="A43" s="10">
        <v>42</v>
      </c>
      <c r="B43" s="4" t="inlineStr">
        <is>
          <t xml:space="preserve">U106</t>
        </is>
      </c>
      <c r="C43" s="10">
        <v>1</v>
      </c>
      <c r="D43" s="10">
        <f>C43*2+0</f>
      </c>
      <c r="E43" s="4" t="inlineStr">
        <is>
          <t xml:space="preserve">quad analog switch</t>
        </is>
      </c>
      <c r="F43" s="0" t="inlineStr">
        <is>
          <t xml:space="preserve">Texas Instruments</t>
        </is>
      </c>
      <c r="G43" s="0" t="inlineStr">
        <is>
          <t xml:space="preserve">CD74HC4066M96</t>
        </is>
      </c>
      <c r="H43" s="0" t="inlineStr">
        <is>
          <t xml:space="preserve">C179842</t>
        </is>
      </c>
      <c r="I43" s="0" t="inlineStr">
        <is>
          <t xml:space="preserve">Extended</t>
        </is>
      </c>
      <c r="J43" s="3">
        <v>0.6097</v>
      </c>
      <c r="K43" s="2">
        <f>D43*J43</f>
      </c>
      <c r="L43" s="10">
        <v>73</v>
      </c>
      <c r="M43" s="0" t="inlineStr">
        <is>
          <t xml:space="preserve">SOIC-14</t>
        </is>
      </c>
      <c r="N43" s="0" t="inlineStr">
        <is>
          <t xml:space="preserve">bottom</t>
        </is>
      </c>
      <c r="O43" s="0" t="inlineStr">
        <is>
          <t xml:space="preserve">JLC</t>
        </is>
      </c>
      <c r="P43" s="5">
        <f>HYPERLINK("https://jlcpcb.com/partdetail/TexasInstruments-CD74HC4066M96/C179842","JLC")</f>
      </c>
      <c r="Q43" s="5">
        <f>HYPERLINK("https://www.lcsc.com/product-detail/analog-switches-multiplexers_texas-instruments-cd74hc4066m96_C179842.html","LCSC")</f>
      </c>
      <c r="R43" s="5">
        <f>HYPERLINK("https://www.lcsc.com/datasheet/lcsc_datasheet_1912111437_Texas-Instruments-CD74HC4066M96_C179842.pdf","PDF")</f>
      </c>
      <c r="S43" s="0" t="inlineStr">
        <is>
          <t xml:space="preserve">CD74HC4066</t>
        </is>
      </c>
      <c r="T43" s="4" t="inlineStr">
        <is>
          <t xml:space="preserve">-55℃~+125℃ 12ns 1:1 200MHz 24ns 25Ω 2V~10V 35ns 4 5pF Bidirectional analog channel SOIC-14 Analog Switches, Multiplexers ROHS</t>
        </is>
      </c>
      <c r="U43" s="11" t="inlineStr">
        <is>
          <t xml:space="preserve">the part named in the schematic; STOCK 73</t>
        </is>
      </c>
    </row>
    <row r="44">
</row>
    <row r="45">
      <c r="A45" s="0"/>
      <c r="B45" s="6" t="inlineStr">
        <is>
          <t xml:space="preserve">Parts total (JLC lines, 2 boards + attrition)</t>
        </is>
      </c>
      <c r="C45" s="0"/>
      <c r="D45" s="0"/>
      <c r="E45" s="0"/>
      <c r="F45" s="0"/>
      <c r="G45" s="0"/>
      <c r="H45" s="0"/>
      <c r="I45" s="0"/>
      <c r="J45" s="0"/>
      <c r="K45" s="7">
        <f>SUMIFS(K2:K43,O2:O43,"JLC")</f>
      </c>
    </row>
    <row r="46">
      <c r="A46" s="0"/>
      <c r="B46" s="6" t="inlineStr">
        <is>
          <t xml:space="preserve">Parts bought separately (priced lines)</t>
        </is>
      </c>
      <c r="C46" s="0"/>
      <c r="D46" s="0"/>
      <c r="E46" s="0"/>
      <c r="F46" s="0"/>
      <c r="G46" s="0"/>
      <c r="H46" s="0"/>
      <c r="I46" s="0"/>
      <c r="J46" s="0"/>
      <c r="K46" s="7">
        <f>SUMIFS(K2:K43,O2:O43,"by hand")</f>
      </c>
    </row>
    <row r="47">
      <c r="A47" s="0"/>
      <c r="B47" s="6" t="inlineStr">
        <is>
          <t xml:space="preserve">Unique JLC part numbers (feeder loading $1.53 each)</t>
        </is>
      </c>
      <c r="C47" s="0"/>
      <c r="D47" s="0"/>
      <c r="E47" s="0"/>
      <c r="F47" s="0"/>
      <c r="G47" s="0"/>
      <c r="H47" s="0"/>
      <c r="I47" s="0"/>
      <c r="J47" s="0"/>
      <c r="K47" s="10">
        <v>41</v>
      </c>
    </row>
  </sheetData>
  <autoFilter ref="A1:U43"/>
  <pageSetup orientation="landscape"/>
</worksheet>
</file>

<file path=xl/worksheets/sheet4.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8.0" customWidth="1"/>
    <col min="2" max="2" width="38.0" customWidth="1"/>
    <col min="3" max="3" width="8.0" customWidth="1"/>
    <col min="4" max="4" width="11.0" customWidth="1"/>
    <col min="5" max="5" width="11.0" customWidth="1"/>
    <col min="6" max="6" width="30.0" customWidth="1"/>
    <col min="7" max="7" width="26.0" customWidth="1"/>
    <col min="8" max="8" width="12.0" customWidth="1"/>
    <col min="9" max="9" width="50.0" customWidth="1"/>
  </cols>
  <sheetData>
    <row r="1">
      <c r="A1" s="1" t="inlineStr">
        <is>
          <t xml:space="preserve">Item</t>
        </is>
      </c>
      <c r="B1" s="1" t="inlineStr">
        <is>
          <t xml:space="preserve">Role</t>
        </is>
      </c>
      <c r="C1" s="1" t="inlineStr">
        <is>
          <t xml:space="preserve">Qty</t>
        </is>
      </c>
      <c r="D1" s="1" t="inlineStr">
        <is>
          <t xml:space="preserve">Unit (USD)</t>
        </is>
      </c>
      <c r="E1" s="1" t="inlineStr">
        <is>
          <t xml:space="preserve">Cost (USD)</t>
        </is>
      </c>
      <c r="F1" s="1" t="inlineStr">
        <is>
          <t xml:space="preserve">Vendor / source</t>
        </is>
      </c>
      <c r="G1" s="1" t="inlineStr">
        <is>
          <t xml:space="preserve">Checked</t>
        </is>
      </c>
      <c r="H1" s="1" t="inlineStr">
        <is>
          <t xml:space="preserve">Link</t>
        </is>
      </c>
      <c r="I1" s="1" t="inlineStr">
        <is>
          <t xml:space="preserve">Notes</t>
        </is>
      </c>
    </row>
    <row r="2">
      <c r="A2" s="4" t="inlineStr">
        <is>
          <t xml:space="preserve">Samtec ESQ-115-44-G-D, J10 socket (power board)</t>
        </is>
      </c>
      <c r="B2" s="4" t="inlineStr">
        <is>
          <t xml:space="preserve">J10 / J11 board-to-board connector</t>
        </is>
      </c>
      <c r="C2" s="10">
        <v>2</v>
      </c>
      <c r="D2" s="3">
        <v>9.13</v>
      </c>
      <c r="E2" s="2">
        <f>C2*D2</f>
      </c>
      <c r="F2" s="4" t="inlineStr">
        <is>
          <t xml:space="preserve">Mouser, as listed on samtec.com</t>
        </is>
      </c>
      <c r="G2" s="4" t="inlineStr">
        <is>
          <t xml:space="preserve">read on samtec.com</t>
        </is>
      </c>
      <c r="H2" s="5">
        <f>HYPERLINK("https://www.samtec.com/products/esq-115-44-g-d","link")</f>
      </c>
      <c r="I2" s="0"/>
    </row>
    <row r="3">
      <c r="A3" s="4" t="inlineStr">
        <is>
          <t xml:space="preserve">Samtec TSW-115-07-G-D, J11 header (card)</t>
        </is>
      </c>
      <c r="B3" s="4" t="inlineStr">
        <is>
          <t xml:space="preserve">J10 / J11 board-to-board connector</t>
        </is>
      </c>
      <c r="C3" s="10">
        <v>2</v>
      </c>
      <c r="D3" s="3">
        <v>3.18</v>
      </c>
      <c r="E3" s="2">
        <f>C3*D3</f>
      </c>
      <c r="F3" s="4" t="inlineStr">
        <is>
          <t xml:space="preserve">Mouser, as listed on samtec.com</t>
        </is>
      </c>
      <c r="G3" s="4" t="inlineStr">
        <is>
          <t xml:space="preserve">read on samtec.com</t>
        </is>
      </c>
      <c r="H3" s="5">
        <f>HYPERLINK("https://www.samtec.com/products/tsw-115-07-g-d","link")</f>
      </c>
      <c r="I3" s="0"/>
    </row>
    <row r="4">
      <c r="A4" s="4" t="inlineStr">
        <is>
          <t xml:space="preserve">Bourns MF-R050 PTC, 0.50 A hold (inline on the J9 pin-9 wire), LCSC C208476</t>
        </is>
      </c>
      <c r="B4" s="4" t="inlineStr">
        <is>
          <t xml:space="preserve">J9 pin-9 fuse (inline)</t>
        </is>
      </c>
      <c r="C4" s="10">
        <v>2</v>
      </c>
      <c r="D4" s="3">
        <v>0.1433</v>
      </c>
      <c r="E4" s="2">
        <f>C4*D4</f>
      </c>
      <c r="F4" s="4" t="inlineStr">
        <is>
          <t xml:space="preserve">LCSC (its own order; JLC does not ship loose parts)</t>
        </is>
      </c>
      <c r="G4" s="4" t="inlineStr">
        <is>
          <t xml:space="preserve">7,030 in stock; derating from the Bourns MF-R datasheet</t>
        </is>
      </c>
      <c r="H4" s="5">
        <f>HYPERLINK("https://www.lcsc.com/product-detail/C208476.html","link")</f>
      </c>
      <c r="I4" s="0"/>
    </row>
    <row r="5">
      <c r="A5" s="4" t="inlineStr">
        <is>
          <t xml:space="preserve">McMaster-Carr 92000A107, M2.5 x 12 pan head Phillips, 18-8 stainless, pack of 100</t>
        </is>
      </c>
      <c r="B5" s="4" t="inlineStr">
        <is>
          <t xml:space="preserve">FET tab screws (4 per set)</t>
        </is>
      </c>
      <c r="C5" s="0" t="inlineStr">
        <is>
          <t xml:space="preserve">1 pack</t>
        </is>
      </c>
      <c r="D5" s="0"/>
      <c r="E5" s="2">
        <v>5.65</v>
      </c>
      <c r="F5" s="4" t="inlineStr">
        <is>
          <t xml:space="preserve">mcmaster.com</t>
        </is>
      </c>
      <c r="G5" s="4" t="inlineStr">
        <is>
          <t xml:space="preserve">read</t>
        </is>
      </c>
      <c r="H5" s="5">
        <f>HYPERLINK("https://www.mcmaster.com/92000A107/","link")</f>
      </c>
      <c r="I5" s="11"/>
    </row>
    <row r="6">
      <c r="A6" s="4" t="inlineStr">
        <is>
          <t xml:space="preserve">McMaster-Carr 93657A200, nylon 6/6 spacer, M2.5, 2.0 mm long, 4.5 mm OD</t>
        </is>
      </c>
      <c r="B6" s="4" t="inlineStr">
        <is>
          <t xml:space="preserve">FET tab-screw gap spacer (4 per set)</t>
        </is>
      </c>
      <c r="C6" s="0" t="inlineStr">
        <is>
          <t xml:space="preserve">8</t>
        </is>
      </c>
      <c r="D6" s="0"/>
      <c r="E6" s="2">
        <v>7.36</v>
      </c>
      <c r="F6" s="4" t="inlineStr">
        <is>
          <t xml:space="preserve">mcmaster.com ($0.92 each under 10)</t>
        </is>
      </c>
      <c r="G6" s="4" t="inlineStr">
        <is>
          <t xml:space="preserve">read</t>
        </is>
      </c>
      <c r="H6" s="5">
        <f>HYPERLINK("https://www.mcmaster.com/93657A200/","link")</f>
      </c>
      <c r="I6" s="11"/>
    </row>
    <row r="7">
      <c r="A7" s="4" t="inlineStr">
        <is>
          <t xml:space="preserve">Boyd (Aavid) 7721-7PPSG shoulder washer, glass-filled PPS</t>
        </is>
      </c>
      <c r="B7" s="4" t="inlineStr">
        <is>
          <t xml:space="preserve">insulates each tab screw in the FET tab hole (4 per set)</t>
        </is>
      </c>
      <c r="C7" s="0" t="inlineStr">
        <is>
          <t xml:space="preserve">8</t>
        </is>
      </c>
      <c r="D7" s="0"/>
      <c r="E7" s="2">
        <v>1.312</v>
      </c>
      <c r="F7" s="4" t="inlineStr">
        <is>
          <t xml:space="preserve">Digi-Key $0.164 at 5+ (10 for $1.51)</t>
        </is>
      </c>
      <c r="G7" s="4" t="inlineStr">
        <is>
          <t xml:space="preserve">read</t>
        </is>
      </c>
      <c r="H7" s="5">
        <f>HYPERLINK("https://www.digikey.com/en/products/result?keywords=7721-7PPSG","link")</f>
      </c>
      <c r="I7" s="11"/>
    </row>
    <row r="8">
      <c r="A8" s="4" t="inlineStr">
        <is>
          <t xml:space="preserve">McMaster-Carr 92605A109, M3 x 20 mm set screw, 18-8 stainless, flat tip, pack of 25</t>
        </is>
      </c>
      <c r="B8" s="4" t="inlineStr">
        <is>
          <t xml:space="preserve">floor stud, part 1: threaded 6 mm into the floor (4 per set)</t>
        </is>
      </c>
      <c r="C8" s="0" t="inlineStr">
        <is>
          <t xml:space="preserve">1 pack</t>
        </is>
      </c>
      <c r="D8" s="0"/>
      <c r="E8" s="2">
        <v>10.69</v>
      </c>
      <c r="F8" s="4" t="inlineStr">
        <is>
          <t xml:space="preserve">mcmaster.com</t>
        </is>
      </c>
      <c r="G8" s="4" t="inlineStr">
        <is>
          <t xml:space="preserve">read</t>
        </is>
      </c>
      <c r="H8" s="5">
        <f>HYPERLINK("https://www.mcmaster.com/92605A109/","link")</f>
      </c>
      <c r="I8" s="11"/>
    </row>
    <row r="9">
      <c r="A9" s="4" t="inlineStr">
        <is>
          <t xml:space="preserve">McMaster-Carr 94669A099, aluminium unthreaded spacer, M3, 5.00 +/-0.13 mm long, 4.5 mm OD</t>
        </is>
      </c>
      <c r="B9" s="4" t="inlineStr">
        <is>
          <t xml:space="preserve">floor stud, part 2: sets the board height with the washer (4 per set; buy 10 to select 8)</t>
        </is>
      </c>
      <c r="C9" s="0" t="inlineStr">
        <is>
          <t xml:space="preserve">10</t>
        </is>
      </c>
      <c r="D9" s="0"/>
      <c r="E9" s="2">
        <v>5.0</v>
      </c>
      <c r="F9" s="4" t="inlineStr">
        <is>
          <t xml:space="preserve">mcmaster.com ($0.50 each)</t>
        </is>
      </c>
      <c r="G9" s="4" t="inlineStr">
        <is>
          <t xml:space="preserve">read</t>
        </is>
      </c>
      <c r="H9" s="5">
        <f>HYPERLINK("https://www.mcmaster.com/94669A099/","link")</f>
      </c>
      <c r="I9" s="11"/>
    </row>
    <row r="10">
      <c r="A10" s="4" t="inlineStr">
        <is>
          <t xml:space="preserve">Essentra HNSM3-20-5.5-1, nylon hex standoff M3 female-female, 20 mm</t>
        </is>
      </c>
      <c r="B10" s="4" t="inlineStr">
        <is>
          <t xml:space="preserve">board-to-card standoff (4 per set)</t>
        </is>
      </c>
      <c r="C10" s="0" t="inlineStr">
        <is>
          <t xml:space="preserve">8</t>
        </is>
      </c>
      <c r="D10" s="0"/>
      <c r="E10" s="2">
        <v>11.328</v>
      </c>
      <c r="F10" s="4" t="inlineStr">
        <is>
          <t xml:space="preserve">Digi-Key $1.416 at 5+ (10 for $13.22)</t>
        </is>
      </c>
      <c r="G10" s="4" t="inlineStr">
        <is>
          <t xml:space="preserve">read</t>
        </is>
      </c>
      <c r="H10" s="5">
        <f>HYPERLINK("https://www.digikey.com/en/products/detail/essentra-components/HNSM3-20-5-5-1/3813076","link")</f>
      </c>
      <c r="I10" s="11"/>
    </row>
    <row r="11">
      <c r="A11" s="4" t="inlineStr">
        <is>
          <t xml:space="preserve">TR Fastenings TR NWE-34815-M3, nylon 6/6 washer 3.2 x 7.0 x 0.5 mm, pack of 100</t>
        </is>
      </c>
      <c r="B11" s="4" t="inlineStr">
        <is>
          <t xml:space="preserve">standoff shims (16 per set)</t>
        </is>
      </c>
      <c r="C11" s="0" t="inlineStr">
        <is>
          <t xml:space="preserve">1 pack</t>
        </is>
      </c>
      <c r="D11" s="0"/>
      <c r="E11" s="2">
        <v>11.671400000000002</v>
      </c>
      <c r="F11" s="4" t="inlineStr">
        <is>
          <t xml:space="preserve">Farnell UK 8.71 GBP, converted at 1.34 USD/GBP</t>
        </is>
      </c>
      <c r="G11" s="4" t="inlineStr">
        <is>
          <t xml:space="preserve">price via search; conversion assumed</t>
        </is>
      </c>
      <c r="H11" s="5">
        <f>HYPERLINK("https://www.newark.com/tr-fastenings/tr-nwe-34815-m3/washer-nylon-6-6-3-2mm-pk100/dp/43Y4267","link")</f>
      </c>
      <c r="I11" s="11" t="inlineStr">
        <is>
          <t xml:space="preserve">GBP price converted at 1.34 USD/GBP</t>
        </is>
      </c>
    </row>
    <row r="12">
      <c r="A12" s="4" t="inlineStr">
        <is>
          <t xml:space="preserve">Wurth Elektronik 97790803211, WA-SCRW M3 x 8 nylon 66 pan head</t>
        </is>
      </c>
      <c r="B12" s="4" t="inlineStr">
        <is>
          <t xml:space="preserve">card screws (4 per set)</t>
        </is>
      </c>
      <c r="C12" s="0" t="inlineStr">
        <is>
          <t xml:space="preserve">8</t>
        </is>
      </c>
      <c r="D12" s="0"/>
      <c r="E12" s="2">
        <v>2.13328</v>
      </c>
      <c r="F12" s="4" t="inlineStr">
        <is>
          <t xml:space="preserve">Farnell UK 0.199 GBP each, converted at 1.34 USD/GBP</t>
        </is>
      </c>
      <c r="G12" s="4" t="inlineStr">
        <is>
          <t xml:space="preserve">price via search; conversion assumed</t>
        </is>
      </c>
      <c r="H12" s="5">
        <f>HYPERLINK("https://www.we-online.com/en/components/products/WA-SCRW","link")</f>
      </c>
      <c r="I12" s="11" t="inlineStr">
        <is>
          <t xml:space="preserve">GBP price converted at 1.34 USD/GBP</t>
        </is>
      </c>
    </row>
    <row r="13">
      <c r="A13" s="4" t="inlineStr">
        <is>
          <t xml:space="preserve">McMaster-Carr 1272N32, 3 W/m-K silicone, 0.060 in (1.52 mm), 4 x 4 in</t>
        </is>
      </c>
      <c r="B13" s="4" t="inlineStr">
        <is>
          <t xml:space="preserve">FET thermal pads (cut 10 x 16 mm, 20 pads)</t>
        </is>
      </c>
      <c r="C13" s="0" t="inlineStr">
        <is>
          <t xml:space="preserve">1</t>
        </is>
      </c>
      <c r="D13" s="0"/>
      <c r="E13" s="2">
        <v>26.91</v>
      </c>
      <c r="F13" s="0" t="inlineStr">
        <is>
          <t xml:space="preserve">mcmaster.com</t>
        </is>
      </c>
      <c r="G13" s="0" t="inlineStr">
        <is>
          <t xml:space="preserve">read</t>
        </is>
      </c>
      <c r="H13" s="5">
        <f>HYPERLINK("https://www.mcmaster.com/1272N32/","link")</f>
      </c>
      <c r="I13" s="11" t="inlineStr">
        <is>
          <t xml:space="preserve">Default pad. Alternatives: Parker G579 $128.75; t-Global TG-AD30 (price not read).</t>
        </is>
      </c>
    </row>
    <row r="14">
</row>
    <row r="15">
      <c r="A15" s="6" t="inlineStr">
        <is>
          <t xml:space="preserve">Total bought elsewhere (with the McMaster pad)</t>
        </is>
      </c>
      <c r="B15" s="0"/>
      <c r="C15" s="0"/>
      <c r="D15" s="0"/>
      <c r="E15" s="7">
        <f>SUM(E2:E13)</f>
      </c>
    </row>
    <row r="16">
      <c r="A16" s="11" t="inlineStr">
        <is>
          <t xml:space="preserve">Prices as read on the vendors' sites. Shipping and tax not included.</t>
        </is>
      </c>
    </row>
  </sheetData>
  <pageSetup orientation="landscape"/>
</worksheet>
</file>

<file path=xl/worksheets/sheet5.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44.0" customWidth="1"/>
    <col min="2" max="2" width="14.0" customWidth="1"/>
    <col min="3" max="3" width="14.0" customWidth="1"/>
    <col min="4" max="4" width="60.0" customWidth="1"/>
  </cols>
  <sheetData>
    <row r="1">
      <c r="A1" s="1" t="inlineStr">
        <is>
          <t xml:space="preserve">Item</t>
        </is>
      </c>
      <c r="B1" s="1" t="inlineStr">
        <is>
          <t xml:space="preserve">Power board</t>
        </is>
      </c>
      <c r="C1" s="1" t="inlineStr">
        <is>
          <t xml:space="preserve">Control card</t>
        </is>
      </c>
      <c r="D1" s="1" t="inlineStr">
        <is>
          <t xml:space="preserve">Notes</t>
        </is>
      </c>
    </row>
    <row r="2">
      <c r="A2" s="0" t="inlineStr">
        <is>
          <t xml:space="preserve">Bare PCBs (5 of each), JLC quote</t>
        </is>
      </c>
      <c r="B2" s="2">
        <v>69.57</v>
      </c>
      <c r="C2" s="2">
        <v>56.83</v>
      </c>
      <c r="D2" s="11" t="inlineStr">
        <is>
          <t xml:space="preserve">Power: 6 layers, stackup JLC061611-7628D, 74 x 86 mm, 5 single boards, ENIG, 1 oz inner, TG155, filled &amp; capped vias. Card: 6 layers, 5 panels of one 45 x 45 mm card on a 70 x 70 mm carrier, ENIG, 0.5 oz inner, TG155.</t>
        </is>
      </c>
    </row>
    <row r="3">
      <c r="A3" s="0" t="inlineStr">
        <is>
          <t xml:space="preserve">Assembly set-up (double-sided, Standard PCBA)</t>
        </is>
      </c>
      <c r="B3" s="2">
        <v>51.12</v>
      </c>
      <c r="C3" s="2">
        <v>51.12</v>
      </c>
      <c r="D3" s="11" t="inlineStr">
        <is>
          <t xml:space="preserve">JLC price page: $25.56 single-side, $51.12 double-side</t>
        </is>
      </c>
    </row>
    <row r="4">
      <c r="A4" s="0" t="inlineStr">
        <is>
          <t xml:space="preserve">Stencil (double-sided)</t>
        </is>
      </c>
      <c r="B4" s="2">
        <v>16.42</v>
      </c>
      <c r="C4" s="2">
        <v>16.42</v>
      </c>
      <c r="D4" s="11" t="inlineStr">
        <is>
          <t xml:space="preserve">$8.21 single-side, $16.42 double-side</t>
        </is>
      </c>
    </row>
    <row r="5">
      <c r="A5" s="0" t="inlineStr">
        <is>
          <t xml:space="preserve">Feeder loading ($1.53 per unique part)</t>
        </is>
      </c>
      <c r="B5" s="2">
        <f>'Power board'!K37*1.53</f>
      </c>
      <c r="C5" s="2">
        <f>'Control card'!K47*1.53</f>
      </c>
      <c r="D5" s="11" t="inlineStr">
        <is>
          <t xml:space="preserve">Basic or Extended, Standard PCBA</t>
        </is>
      </c>
    </row>
    <row r="6">
      <c r="A6" s="0" t="inlineStr">
        <is>
          <t xml:space="preserve">Solder joints ($0.0016 each)</t>
        </is>
      </c>
      <c r="B6" s="2">
        <v>0.91</v>
      </c>
      <c r="C6" s="2">
        <v>1.52</v>
      </c>
      <c r="D6" s="11" t="inlineStr">
        <is>
          <t xml:space="preserve">566 / 952 joints for 2 boards</t>
        </is>
      </c>
    </row>
    <row r="7">
      <c r="A7" s="0" t="inlineStr">
        <is>
          <t xml:space="preserve">JLC parts (2 boards + attrition)</t>
        </is>
      </c>
      <c r="B7" s="2">
        <f>'Power board'!K35</f>
      </c>
      <c r="C7" s="2">
        <f>'Control card'!K45</f>
      </c>
      <c r="D7" s="11" t="inlineStr">
        <is>
          <t xml:space="preserve">from the board sheets</t>
        </is>
      </c>
    </row>
    <row r="8">
      <c r="A8" s="6" t="inlineStr">
        <is>
          <t xml:space="preserve">Order total (PCBs + assembly)</t>
        </is>
      </c>
      <c r="B8" s="7">
        <f>SUM(B2:B7)</f>
      </c>
      <c r="C8" s="7">
        <f>SUM(C2:C7)</f>
      </c>
      <c r="D8" s="11" t="inlineStr">
        <is>
          <t xml:space="preserve">Shipping and tax not included</t>
        </is>
      </c>
    </row>
  </sheetData>
  <pageSetup orientation="landscape"/>
</worksheet>
</file>

<file path=xl/worksheets/sheet6.xml><?xml version="1.0" encoding="utf-8"?>
<worksheet xmlns="http://schemas.openxmlformats.org/spreadsheetml/2006/main" xmlns:r="http://schemas.openxmlformats.org/officeDocument/2006/relationships">
  <sheetViews>
    <sheetView workbookViewId="0">
      <pane ySplit="1" topLeftCell="A2" activePane="bottomLeft" state="frozen"/>
    </sheetView>
  </sheetViews>
  <cols>
    <col min="1" max="1" width="62.0" customWidth="1"/>
    <col min="2" max="2" width="12.0" customWidth="1"/>
    <col min="3" max="3" width="80.0" customWidth="1"/>
    <col min="4" max="4" width="26.0" customWidth="1"/>
  </cols>
  <sheetData>
    <row r="1">
      <c r="A1" s="1" t="inlineStr">
        <is>
          <t xml:space="preserve">Option</t>
        </is>
      </c>
      <c r="B1" s="1" t="inlineStr">
        <is>
          <t xml:space="preserve">Saves (USD, this build)</t>
        </is>
      </c>
      <c r="C1" s="1" t="inlineStr">
        <is>
          <t xml:space="preserve">What it takes</t>
        </is>
      </c>
      <c r="D1" s="1" t="inlineStr">
        <is>
          <t xml:space="preserve">Verdict</t>
        </is>
      </c>
    </row>
    <row r="2">
      <c r="A2" s="6" t="inlineStr">
        <is>
          <t xml:space="preserve">Possible savings</t>
        </is>
      </c>
    </row>
    <row r="3">
      <c r="A3" s="4" t="inlineStr">
        <is>
          <t xml:space="preserve">Samtec J10/J11 through Samtec's free-sample program</t>
        </is>
      </c>
      <c r="B3" s="2">
        <v>24.62</v>
      </c>
      <c r="C3" s="4" t="inlineStr">
        <is>
          <t xml:space="preserve">Needs a Samtec account. A generic header pair would need the exact stack height re-checked.</t>
        </is>
      </c>
      <c r="D3" s="4" t="inlineStr">
        <is>
          <t xml:space="preserve">Worth asking Samtec</t>
        </is>
      </c>
    </row>
    <row r="4">
      <c r="A4" s="4" t="inlineStr">
        <is>
          <t xml:space="preserve">Ordering</t>
        </is>
      </c>
      <c r="B4" s="0" t="inlineStr">
        <is>
          <t xml:space="preserve">shipping</t>
        </is>
      </c>
      <c r="C4" s="4" t="inlineStr">
        <is>
          <t xml:space="preserve">Pay both JLC orders together so they ship as one parcel; JLC's JLCONE desktop app advertises $1-20 off per order; check the coupons in your JLC account.</t>
        </is>
      </c>
      <c r="D4" s="4" t="inlineStr">
        <is>
          <t xml:space="preserve">Do it</t>
        </is>
      </c>
    </row>
    <row r="5">
</row>
    <row r="6">
      <c r="A6" s="6" t="inlineStr">
        <is>
          <t xml:space="preserve">Looked at and not used</t>
        </is>
      </c>
    </row>
    <row r="7">
      <c r="A7" s="4" t="inlineStr">
        <is>
          <t xml:space="preserve">Comparators MCP6561 ($0.74 x 10): the cheaper parts are slower (Linearin LTC8721: 66-155 ns, 85 C), run hotter on supply current (Tokmas CSGM8743: 1.3 mA, 85 C) or save only $1.74 in all (3PEAK TP1961). TI TLV3201 costs more.</t>
        </is>
      </c>
    </row>
    <row r="8">
      <c r="A8" s="4" t="inlineStr">
        <is>
          <t xml:space="preserve">Digital pot MCP4451-103 ($2.91): already the cheapest 10 kOhm quad of its family; the 50 kOhm versions would change the current-setting network, the 7-bit MCP4441 is QFN and dearer.</t>
        </is>
      </c>
    </row>
    <row r="9">
      <c r="A9" s="4" t="inlineStr">
        <is>
          <t xml:space="preserve">L78L05 5 V regulators ($0.102 x 4): the clones cost $0.03-0.05, but under $0.10 JLC adds about 20 attrition spares per line, so the line costs more. Loads 8 mA and 3 mA (simulated).</t>
        </is>
      </c>
    </row>
    <row r="10">
      <c r="A10" s="4" t="inlineStr">
        <is>
          <t xml:space="preserve">12 V regulator, other options: the SOT-223 LM2940s (UTC $0.24, TI $1.68) run too hot at 75 C case air (thermal model); Microchip MIC2940A-12WU-TR ($2.60, a true LDO in the same TO-263 footprint) is the fall-back if the low-battery fade ever matters; ST L4940 is rated for only 17 V in.</t>
        </is>
      </c>
    </row>
    <row r="11">
      <c r="A11" s="4" t="inlineStr">
        <is>
          <t xml:space="preserve">Card FR4 TG135 (-$3.43): TG155 kept.</t>
        </is>
      </c>
    </row>
    <row r="12">
      <c r="A12" s="4" t="inlineStr">
        <is>
          <t xml:space="preserve">OSP finish (-$34.50): shelf life and hand soldering after two reflows.</t>
        </is>
      </c>
    </row>
    <row r="13">
      <c r="A13" s="4" t="inlineStr">
        <is>
          <t xml:space="preserve">One-sided assembly: parts on both sides of both boards.</t>
        </is>
      </c>
    </row>
    <row r="14">
      <c r="A14" s="4" t="inlineStr">
        <is>
          <t xml:space="preserve">INA240A3 for INA241A4: slower and an 80 V limit.</t>
        </is>
      </c>
    </row>
  </sheetData>
  <pageSetup orientation="landscape"/>
</worksheet>
</file>

<file path=docProps/core.xml><?xml version="1.0" encoding="utf-8"?>
<cp:coreProperties xmlns:cp="http://schemas.openxmlformats.org/package/2006/metadata/core-properties" xmlns:dc="http://purl.org/dc/elements/1.1/" xmlns:dcterms="http://purl.org/dc/terms/" xmlns:xsi="http://www.w3.org/2001/XMLSchema-instance">
  <dc:title>BOOST bill of materials</dc:title>
  <dcterms:created xsi:type="dcterms:W3CDTF">2026-10-14T04:36:36Z</dcterms:created>
</cp:coreProperties>
</file>